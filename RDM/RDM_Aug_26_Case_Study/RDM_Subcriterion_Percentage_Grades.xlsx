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a65fd4c43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91781a2913f455c"/>
    <x:sheet xmlns:r="http://schemas.openxmlformats.org/officeDocument/2006/relationships" name="Subcriterion marks" sheetId="2" r:id="Rebb10c42be84454f"/>
    <x:sheet xmlns:r="http://schemas.openxmlformats.org/officeDocument/2006/relationships" name="Distributions" sheetId="3" r:id="R1eee7445c0fb4104"/>
    <x:sheet xmlns:r="http://schemas.openxmlformats.org/officeDocument/2006/relationships" name="Mark audit" sheetId="4" r:id="Re0089bfdc87d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%"/>
    <x:numFmt numFmtId="202" formatCode="0"/>
    <x:numFmt numFmtId="203" formatCode="0.00%"/>
    <x:numFmt numFmtId="204" formatCode="0.0"/>
    <x:numFmt numFmtId="205" formatCode="0.000000"/>
  </x:numFmts>
  <x:fonts count="6">
    <x:font>
      <x:sz val="11"/>
      <x:name val="Carlito"/>
    </x:font>
    <x:font>
      <x:sz val="11"/>
      <x:color rgb="FF203047"/>
      <x:name val="Arial"/>
    </x:font>
    <x:font>
      <x:b/>
      <x:sz val="17"/>
      <x:color rgb="FF173F54"/>
      <x:name val="Arial"/>
    </x:font>
    <x:font>
      <x:b/>
      <x:sz val="11"/>
      <x:color rgb="FFFFFFFF"/>
      <x:name val="Arial"/>
    </x:font>
    <x:font>
      <x:sz val="11"/>
      <x:color rgb="FF245EA6"/>
      <x:name val="Arial"/>
    </x:font>
    <x:font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B62"/>
      </x:patternFill>
    </x:fill>
    <x:fill>
      <x:patternFill patternType="solid">
        <x:fgColor rgb="FFF1F5F7"/>
      </x:patternFill>
    </x:fill>
    <x:fill>
      <x:patternFill patternType="solid">
        <x:fgColor rgb="FF234B62"/>
      </x:patternFill>
    </x:fill>
    <x:fill>
      <x:patternFill patternType="solid">
        <x:fgColor rgb="FFF1F5F7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2" fontId="1" fillId="0" borderId="0" xfId="0" applyNumberFormat="1" applyFont="1" applyFill="1" applyBorder="1"/>
    <x:xf numFmtId="202" fontId="1" fillId="5" borderId="0" xfId="0" applyNumberFormat="1" applyFont="1" applyFill="1" applyBorder="1"/>
    <x:xf numFmtId="205" fontId="1" fillId="0" borderId="0" xfId="0" applyNumberFormat="1" applyFont="1" applyFill="1" applyBorder="1"/>
    <x:xf numFmtId="205" fontId="1" fillId="5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62a0ce67d486b" /><Relationship Type="http://schemas.openxmlformats.org/officeDocument/2006/relationships/theme" Target="/xl/theme/theme1.xml" Id="R9e23b2f43372457c" /><Relationship Type="http://schemas.openxmlformats.org/officeDocument/2006/relationships/sharedStrings" Target="/xl/sharedStrings.xml" Id="R594d8e4e7830432c" /><Relationship Type="http://schemas.openxmlformats.org/officeDocument/2006/relationships/worksheet" Target="/xl/worksheets/sheet1.xml" Id="Rf91781a2913f455c" /><Relationship Type="http://schemas.openxmlformats.org/officeDocument/2006/relationships/worksheet" Target="/xl/worksheets/sheet2.xml" Id="Rebb10c42be84454f" /><Relationship Type="http://schemas.openxmlformats.org/officeDocument/2006/relationships/worksheet" Target="/xl/worksheets/sheet3.xml" Id="R1eee7445c0fb4104" /><Relationship Type="http://schemas.openxmlformats.org/officeDocument/2006/relationships/worksheet" Target="/xl/worksheets/sheet4.xml" Id="Re0089bfdc87d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B6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RDM percentage grades for inspection</x:v>
      </x:c>
      <x:c r="B2" s="2"/>
      <x:c r="C2" s="2"/>
      <x:c r="D2" s="2"/>
      <x:c r="E2" s="2"/>
      <x:c r="F2" s="2"/>
      <x:c r="G2" s="2"/>
      <x:c r="H2" s="2"/>
      <x:c r="I2" s="2"/>
    </x:row>
    <x:row r="3" ht="38" customHeight="1">
      <x:c r="A3" s="4" t="str">
        <x:v>17 submissions. Independent assessment is followed by overall standardisation and mean-preserving integer rounding. Moderated overall is the adjusted grade.</x:v>
      </x:c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6" customHeight="1">
      <x:c r="A5" s="7" t="str">
        <x:v>Participant ID</x:v>
      </x:c>
      <x:c r="B5" s="7" t="str">
        <x:v>C1 Knowledge</x:v>
      </x:c>
      <x:c r="C5" s="7" t="str">
        <x:v>C2 Analysis</x:v>
      </x:c>
      <x:c r="D5" s="7" t="str">
        <x:v>C3 Application</x:v>
      </x:c>
      <x:c r="E5" s="7" t="str">
        <x:v>C4 Presentation</x:v>
      </x:c>
      <x:c r="F5" s="7" t="str">
        <x:v>C5 Reading</x:v>
      </x:c>
      <x:c r="G5" s="7" t="str">
        <x:v>Assessed overall</x:v>
      </x:c>
      <x:c r="H5" s="7" t="str">
        <x:v>Standardised before final rounding</x:v>
      </x:c>
      <x:c r="I5" s="7" t="str">
        <x:v>Moderated overall</x:v>
      </x:c>
    </x:row>
    <x:row r="6" ht="25" customHeight="1">
      <x:c r="A6" s="2" t="str">
        <x:v>Participant_555059_assignsubmission_file</x:v>
      </x:c>
      <x:c r="B6" s="25" t="n">
        <x:f>'Subcriterion marks'!AE6</x:f>
        <x:v>59</x:v>
      </x:c>
      <x:c r="C6" s="25" t="n">
        <x:f>'Subcriterion marks'!AF6</x:f>
        <x:v>73.33333333333333</x:v>
      </x:c>
      <x:c r="D6" s="25" t="n">
        <x:f>'Subcriterion marks'!AG6</x:f>
        <x:v>73</x:v>
      </x:c>
      <x:c r="E6" s="25" t="n">
        <x:f>'Subcriterion marks'!AH6</x:f>
        <x:v>72.85714285714286</x:v>
      </x:c>
      <x:c r="F6" s="25" t="n">
        <x:f>'Subcriterion marks'!AI6</x:f>
        <x:v>71.66666666666667</x:v>
      </x:c>
      <x:c r="G6" s="25" t="n">
        <x:f>'Subcriterion marks'!AJ6</x:f>
        <x:v>69.36904761904762</x:v>
      </x:c>
      <x:c r="H6" s="25" t="n">
        <x:f>'Subcriterion marks'!AK6</x:f>
        <x:v>75.16853969752285</x:v>
      </x:c>
      <x:c r="I6" s="25" t="n">
        <x:f>'Subcriterion marks'!AQ6</x:f>
        <x:v>75</x:v>
      </x:c>
    </x:row>
    <x:row r="7" ht="25" customHeight="1">
      <x:c r="A7" s="8" t="str">
        <x:v>Participant_555060_assignsubmission_file</x:v>
      </x:c>
      <x:c r="B7" s="26" t="n">
        <x:f>'Subcriterion marks'!AE7</x:f>
        <x:v>34</x:v>
      </x:c>
      <x:c r="C7" s="26" t="n">
        <x:f>'Subcriterion marks'!AF7</x:f>
        <x:v>60</x:v>
      </x:c>
      <x:c r="D7" s="26" t="n">
        <x:f>'Subcriterion marks'!AG7</x:f>
        <x:v>60</x:v>
      </x:c>
      <x:c r="E7" s="26" t="n">
        <x:f>'Subcriterion marks'!AH7</x:f>
        <x:v>69.28571428571429</x:v>
      </x:c>
      <x:c r="F7" s="26" t="n">
        <x:f>'Subcriterion marks'!AI7</x:f>
        <x:v>50.833333333333336</x:v>
      </x:c>
      <x:c r="G7" s="26" t="n">
        <x:f>'Subcriterion marks'!AJ7</x:f>
        <x:v>53.05357142857143</x:v>
      </x:c>
      <x:c r="H7" s="26" t="n">
        <x:f>'Subcriterion marks'!AK7</x:f>
        <x:v>56.53534750414238</x:v>
      </x:c>
      <x:c r="I7" s="26" t="n">
        <x:f>'Subcriterion marks'!AQ7</x:f>
        <x:v>57</x:v>
      </x:c>
    </x:row>
    <x:row r="8" ht="25" customHeight="1">
      <x:c r="A8" s="2" t="str">
        <x:v>Participant_555062_assignsubmission_file</x:v>
      </x:c>
      <x:c r="B8" s="25" t="n">
        <x:f>'Subcriterion marks'!AE8</x:f>
        <x:v>57</x:v>
      </x:c>
      <x:c r="C8" s="25" t="n">
        <x:f>'Subcriterion marks'!AF8</x:f>
        <x:v>68.33333333333333</x:v>
      </x:c>
      <x:c r="D8" s="25" t="n">
        <x:f>'Subcriterion marks'!AG8</x:f>
        <x:v>68</x:v>
      </x:c>
      <x:c r="E8" s="25" t="n">
        <x:f>'Subcriterion marks'!AH8</x:f>
        <x:v>65.71428571428571</x:v>
      </x:c>
      <x:c r="F8" s="25" t="n">
        <x:f>'Subcriterion marks'!AI8</x:f>
        <x:v>70.83333333333333</x:v>
      </x:c>
      <x:c r="G8" s="25" t="n">
        <x:f>'Subcriterion marks'!AJ8</x:f>
        <x:v>65.5297619047619</x:v>
      </x:c>
      <x:c r="H8" s="25" t="n">
        <x:f>'Subcriterion marks'!AK8</x:f>
        <x:v>70.78385930178027</x:v>
      </x:c>
      <x:c r="I8" s="25" t="n">
        <x:f>'Subcriterion marks'!AQ8</x:f>
        <x:v>71</x:v>
      </x:c>
    </x:row>
    <x:row r="9" ht="25" customHeight="1">
      <x:c r="A9" s="8" t="str">
        <x:v>Participant_555064_assignsubmission_file</x:v>
      </x:c>
      <x:c r="B9" s="26" t="n">
        <x:f>'Subcriterion marks'!AE9</x:f>
        <x:v>62</x:v>
      </x:c>
      <x:c r="C9" s="26" t="n">
        <x:f>'Subcriterion marks'!AF9</x:f>
        <x:v>80</x:v>
      </x:c>
      <x:c r="D9" s="26" t="n">
        <x:f>'Subcriterion marks'!AG9</x:f>
        <x:v>73</x:v>
      </x:c>
      <x:c r="E9" s="26" t="n">
        <x:f>'Subcriterion marks'!AH9</x:f>
        <x:v>76.42857142857143</x:v>
      </x:c>
      <x:c r="F9" s="26" t="n">
        <x:f>'Subcriterion marks'!AI9</x:f>
        <x:v>66.66666666666667</x:v>
      </x:c>
      <x:c r="G9" s="26" t="n">
        <x:f>'Subcriterion marks'!AJ9</x:f>
        <x:v>71.39285714285714</x:v>
      </x:c>
      <x:c r="H9" s="26" t="n">
        <x:f>'Subcriterion marks'!AK9</x:f>
        <x:v>77.47984409217784</x:v>
      </x:c>
      <x:c r="I9" s="26" t="n">
        <x:f>'Subcriterion marks'!AQ9</x:f>
        <x:v>77</x:v>
      </x:c>
    </x:row>
    <x:row r="10" ht="25" customHeight="1">
      <x:c r="A10" s="2" t="str">
        <x:v>Participant_555065_assignsubmission_file</x:v>
      </x:c>
      <x:c r="B10" s="25" t="n">
        <x:f>'Subcriterion marks'!AE10</x:f>
        <x:v>69</x:v>
      </x:c>
      <x:c r="C10" s="25" t="n">
        <x:f>'Subcriterion marks'!AF10</x:f>
        <x:v>69.16666666666667</x:v>
      </x:c>
      <x:c r="D10" s="25" t="n">
        <x:f>'Subcriterion marks'!AG10</x:f>
        <x:v>68</x:v>
      </x:c>
      <x:c r="E10" s="25" t="n">
        <x:f>'Subcriterion marks'!AH10</x:f>
        <x:v>69.28571428571429</x:v>
      </x:c>
      <x:c r="F10" s="25" t="n">
        <x:f>'Subcriterion marks'!AI10</x:f>
        <x:v>67.5</x:v>
      </x:c>
      <x:c r="G10" s="25" t="n">
        <x:f>'Subcriterion marks'!AJ10</x:f>
        <x:v>68.5952380952381</x:v>
      </x:c>
      <x:c r="H10" s="25" t="n">
        <x:f>'Subcriterion marks'!AK10</x:f>
        <x:v>74.28480566427241</x:v>
      </x:c>
      <x:c r="I10" s="25" t="n">
        <x:f>'Subcriterion marks'!AQ10</x:f>
        <x:v>74</x:v>
      </x:c>
    </x:row>
    <x:row r="11" ht="25" customHeight="1">
      <x:c r="A11" s="8" t="str">
        <x:v>Participant_555066_assignsubmission_file</x:v>
      </x:c>
      <x:c r="B11" s="26" t="n">
        <x:f>'Subcriterion marks'!AE11</x:f>
        <x:v>59</x:v>
      </x:c>
      <x:c r="C11" s="26" t="n">
        <x:f>'Subcriterion marks'!AF11</x:f>
        <x:v>74.16666666666667</x:v>
      </x:c>
      <x:c r="D11" s="26" t="n">
        <x:f>'Subcriterion marks'!AG11</x:f>
        <x:v>74</x:v>
      </x:c>
      <x:c r="E11" s="26" t="n">
        <x:f>'Subcriterion marks'!AH11</x:f>
        <x:v>70.71428571428571</x:v>
      </x:c>
      <x:c r="F11" s="26" t="n">
        <x:f>'Subcriterion marks'!AI11</x:f>
        <x:v>68.33333333333333</x:v>
      </x:c>
      <x:c r="G11" s="26" t="n">
        <x:f>'Subcriterion marks'!AJ11</x:f>
        <x:v>69.11309523809524</x:v>
      </x:c>
      <x:c r="H11" s="26" t="n">
        <x:f>'Subcriterion marks'!AK11</x:f>
        <x:v>74.87622767114001</x:v>
      </x:c>
      <x:c r="I11" s="26" t="n">
        <x:f>'Subcriterion marks'!AQ11</x:f>
        <x:v>75</x:v>
      </x:c>
    </x:row>
    <x:row r="12" ht="25" customHeight="1">
      <x:c r="A12" s="2" t="str">
        <x:v>Participant_555069_assignsubmission_file</x:v>
      </x:c>
      <x:c r="B12" s="25" t="n">
        <x:f>'Subcriterion marks'!AE12</x:f>
        <x:v>43</x:v>
      </x:c>
      <x:c r="C12" s="25" t="n">
        <x:f>'Subcriterion marks'!AF12</x:f>
        <x:v>45</x:v>
      </x:c>
      <x:c r="D12" s="25" t="n">
        <x:f>'Subcriterion marks'!AG12</x:f>
        <x:v>49</x:v>
      </x:c>
      <x:c r="E12" s="25" t="n">
        <x:f>'Subcriterion marks'!AH12</x:f>
        <x:v>57.857142857142854</x:v>
      </x:c>
      <x:c r="F12" s="25" t="n">
        <x:f>'Subcriterion marks'!AI12</x:f>
        <x:v>60</x:v>
      </x:c>
      <x:c r="G12" s="25" t="n">
        <x:f>'Subcriterion marks'!AJ12</x:f>
        <x:v>49.035714285714285</x:v>
      </x:c>
      <x:c r="H12" s="25" t="n">
        <x:f>'Subcriterion marks'!AK12</x:f>
        <x:v>51.94672848534201</x:v>
      </x:c>
      <x:c r="I12" s="25" t="n">
        <x:f>'Subcriterion marks'!AQ12</x:f>
        <x:v>52</x:v>
      </x:c>
    </x:row>
    <x:row r="13" ht="25" customHeight="1">
      <x:c r="A13" s="8" t="str">
        <x:v>Participant_555070_assignsubmission_file</x:v>
      </x:c>
      <x:c r="B13" s="26" t="n">
        <x:f>'Subcriterion marks'!AE13</x:f>
        <x:v>44</x:v>
      </x:c>
      <x:c r="C13" s="26" t="n">
        <x:f>'Subcriterion marks'!AF13</x:f>
        <x:v>48.333333333333336</x:v>
      </x:c>
      <x:c r="D13" s="26" t="n">
        <x:f>'Subcriterion marks'!AG13</x:f>
        <x:v>52</x:v>
      </x:c>
      <x:c r="E13" s="26" t="n">
        <x:f>'Subcriterion marks'!AH13</x:f>
        <x:v>60.714285714285715</x:v>
      </x:c>
      <x:c r="F13" s="26" t="n">
        <x:f>'Subcriterion marks'!AI13</x:f>
        <x:v>30</x:v>
      </x:c>
      <x:c r="G13" s="26" t="n">
        <x:f>'Subcriterion marks'!AJ13</x:f>
        <x:v>46.654761904761905</x:v>
      </x:c>
      <x:c r="H13" s="26" t="n">
        <x:f>'Subcriterion marks'!AK13</x:f>
        <x:v>49.22754684457142</x:v>
      </x:c>
      <x:c r="I13" s="26" t="n">
        <x:f>'Subcriterion marks'!AQ13</x:f>
        <x:v>49</x:v>
      </x:c>
    </x:row>
    <x:row r="14" ht="25" customHeight="1">
      <x:c r="A14" s="2" t="str">
        <x:v>Participant_555071_assignsubmission_file</x:v>
      </x:c>
      <x:c r="B14" s="25" t="n">
        <x:f>'Subcriterion marks'!AE14</x:f>
        <x:v>43</x:v>
      </x:c>
      <x:c r="C14" s="25" t="n">
        <x:f>'Subcriterion marks'!AF14</x:f>
        <x:v>54.166666666666664</x:v>
      </x:c>
      <x:c r="D14" s="25" t="n">
        <x:f>'Subcriterion marks'!AG14</x:f>
        <x:v>53</x:v>
      </x:c>
      <x:c r="E14" s="25" t="n">
        <x:f>'Subcriterion marks'!AH14</x:f>
        <x:v>60</x:v>
      </x:c>
      <x:c r="F14" s="25" t="n">
        <x:f>'Subcriterion marks'!AI14</x:f>
        <x:v>59.166666666666664</x:v>
      </x:c>
      <x:c r="G14" s="25" t="n">
        <x:f>'Subcriterion marks'!AJ14</x:f>
        <x:v>52.416666666666664</x:v>
      </x:c>
      <x:c r="H14" s="25" t="n">
        <x:f>'Subcriterion marks'!AK14</x:f>
        <x:v>55.807966415236244</x:v>
      </x:c>
      <x:c r="I14" s="25" t="n">
        <x:f>'Subcriterion marks'!AQ14</x:f>
        <x:v>56</x:v>
      </x:c>
    </x:row>
    <x:row r="15" ht="25" customHeight="1">
      <x:c r="A15" s="8" t="str">
        <x:v>Participant_555072_assignsubmission_file</x:v>
      </x:c>
      <x:c r="B15" s="26" t="n">
        <x:f>'Subcriterion marks'!AE15</x:f>
        <x:v>72</x:v>
      </x:c>
      <x:c r="C15" s="26" t="n">
        <x:f>'Subcriterion marks'!AF15</x:f>
        <x:v>82.5</x:v>
      </x:c>
      <x:c r="D15" s="26" t="n">
        <x:f>'Subcriterion marks'!AG15</x:f>
        <x:v>74</x:v>
      </x:c>
      <x:c r="E15" s="26" t="n">
        <x:f>'Subcriterion marks'!AH15</x:f>
        <x:v>76.42857142857143</x:v>
      </x:c>
      <x:c r="F15" s="26" t="n">
        <x:f>'Subcriterion marks'!AI15</x:f>
        <x:v>71.66666666666667</x:v>
      </x:c>
      <x:c r="G15" s="26" t="n">
        <x:f>'Subcriterion marks'!AJ15</x:f>
        <x:v>75.51785714285714</x:v>
      </x:c>
      <x:c r="H15" s="26" t="n">
        <x:f>'Subcriterion marks'!AK15</x:f>
        <x:v>82.19082628481289</x:v>
      </x:c>
      <x:c r="I15" s="26" t="n">
        <x:f>'Subcriterion marks'!AQ15</x:f>
        <x:v>82</x:v>
      </x:c>
    </x:row>
    <x:row r="16" ht="25" customHeight="1">
      <x:c r="A16" s="2" t="str">
        <x:v>Participant_555073_assignsubmission_file</x:v>
      </x:c>
      <x:c r="B16" s="25" t="n">
        <x:f>'Subcriterion marks'!AE16</x:f>
        <x:v>60</x:v>
      </x:c>
      <x:c r="C16" s="25" t="n">
        <x:f>'Subcriterion marks'!AF16</x:f>
        <x:v>75</x:v>
      </x:c>
      <x:c r="D16" s="25" t="n">
        <x:f>'Subcriterion marks'!AG16</x:f>
        <x:v>73</x:v>
      </x:c>
      <x:c r="E16" s="25" t="n">
        <x:f>'Subcriterion marks'!AH16</x:f>
        <x:v>76.42857142857143</x:v>
      </x:c>
      <x:c r="F16" s="25" t="n">
        <x:f>'Subcriterion marks'!AI16</x:f>
        <x:v>73.33333333333333</x:v>
      </x:c>
      <x:c r="G16" s="25" t="n">
        <x:f>'Subcriterion marks'!AJ16</x:f>
        <x:v>70.64285714285714</x:v>
      </x:c>
      <x:c r="H16" s="25" t="n">
        <x:f>'Subcriterion marks'!AK16</x:f>
        <x:v>76.6233018753351</x:v>
      </x:c>
      <x:c r="I16" s="25" t="n">
        <x:f>'Subcriterion marks'!AQ16</x:f>
        <x:v>77</x:v>
      </x:c>
    </x:row>
    <x:row r="17" ht="25" customHeight="1">
      <x:c r="A17" s="8" t="str">
        <x:v>Participant_555074_assignsubmission_file</x:v>
      </x:c>
      <x:c r="B17" s="26" t="n">
        <x:f>'Subcriterion marks'!AE17</x:f>
        <x:v>52</x:v>
      </x:c>
      <x:c r="C17" s="26" t="n">
        <x:f>'Subcriterion marks'!AF17</x:f>
        <x:v>51.666666666666664</x:v>
      </x:c>
      <x:c r="D17" s="26" t="n">
        <x:f>'Subcriterion marks'!AG17</x:f>
        <x:v>63</x:v>
      </x:c>
      <x:c r="E17" s="26" t="n">
        <x:f>'Subcriterion marks'!AH17</x:f>
        <x:v>69.28571428571429</x:v>
      </x:c>
      <x:c r="F17" s="26" t="n">
        <x:f>'Subcriterion marks'!AI17</x:f>
        <x:v>60.833333333333336</x:v>
      </x:c>
      <x:c r="G17" s="26" t="n">
        <x:f>'Subcriterion marks'!AJ17</x:f>
        <x:v>57.720238095238095</x:v>
      </x:c>
      <x:c r="H17" s="26" t="n">
        <x:f>'Subcriterion marks'!AK17</x:f>
        <x:v>61.864943520052734</x:v>
      </x:c>
      <x:c r="I17" s="26" t="n">
        <x:f>'Subcriterion marks'!AQ17</x:f>
        <x:v>62</x:v>
      </x:c>
    </x:row>
    <x:row r="18" ht="25" customHeight="1">
      <x:c r="A18" s="2" t="str">
        <x:v>Participant_555076_assignsubmission_file</x:v>
      </x:c>
      <x:c r="B18" s="25" t="n">
        <x:f>'Subcriterion marks'!AE18</x:f>
        <x:v>37</x:v>
      </x:c>
      <x:c r="C18" s="25" t="n">
        <x:f>'Subcriterion marks'!AF18</x:f>
        <x:v>55.833333333333336</x:v>
      </x:c>
      <x:c r="D18" s="25" t="n">
        <x:f>'Subcriterion marks'!AG18</x:f>
        <x:v>57</x:v>
      </x:c>
      <x:c r="E18" s="25" t="n">
        <x:f>'Subcriterion marks'!AH18</x:f>
        <x:v>57.857142857142854</x:v>
      </x:c>
      <x:c r="F18" s="25" t="n">
        <x:f>'Subcriterion marks'!AI18</x:f>
        <x:v>60</x:v>
      </x:c>
      <x:c r="G18" s="25" t="n">
        <x:f>'Subcriterion marks'!AJ18</x:f>
        <x:v>52.24404761904762</x:v>
      </x:c>
      <x:c r="H18" s="25" t="n">
        <x:f>'Subcriterion marks'!AK18</x:f>
        <x:v>55.61082574628038</x:v>
      </x:c>
      <x:c r="I18" s="25" t="n">
        <x:f>'Subcriterion marks'!AQ18</x:f>
        <x:v>56</x:v>
      </x:c>
    </x:row>
    <x:row r="19" ht="25" customHeight="1">
      <x:c r="A19" s="8" t="str">
        <x:v>Participant_555077_assignsubmission_file</x:v>
      </x:c>
      <x:c r="B19" s="26" t="n">
        <x:f>'Subcriterion marks'!AE19</x:f>
        <x:v>39</x:v>
      </x:c>
      <x:c r="C19" s="26" t="n">
        <x:f>'Subcriterion marks'!AF19</x:f>
        <x:v>62.5</x:v>
      </x:c>
      <x:c r="D19" s="26" t="n">
        <x:f>'Subcriterion marks'!AG19</x:f>
        <x:v>63</x:v>
      </x:c>
      <x:c r="E19" s="26" t="n">
        <x:f>'Subcriterion marks'!AH19</x:f>
        <x:v>69.28571428571429</x:v>
      </x:c>
      <x:c r="F19" s="26" t="n">
        <x:f>'Subcriterion marks'!AI19</x:f>
        <x:v>62.5</x:v>
      </x:c>
      <x:c r="G19" s="26" t="n">
        <x:f>'Subcriterion marks'!AJ19</x:f>
        <x:v>57.42857142857143</x:v>
      </x:c>
      <x:c r="H19" s="26" t="n">
        <x:f>'Subcriterion marks'!AK19</x:f>
        <x:v>61.53184376905834</x:v>
      </x:c>
      <x:c r="I19" s="26" t="n">
        <x:f>'Subcriterion marks'!AQ19</x:f>
        <x:v>61</x:v>
      </x:c>
    </x:row>
    <x:row r="20" ht="25" customHeight="1">
      <x:c r="A20" s="2" t="str">
        <x:v>Participant_555078_assignsubmission_file</x:v>
      </x:c>
      <x:c r="B20" s="25" t="n">
        <x:f>'Subcriterion marks'!AE20</x:f>
        <x:v>39</x:v>
      </x:c>
      <x:c r="C20" s="25" t="n">
        <x:f>'Subcriterion marks'!AF20</x:f>
        <x:v>60</x:v>
      </x:c>
      <x:c r="D20" s="25" t="n">
        <x:f>'Subcriterion marks'!AG20</x:f>
        <x:v>60</x:v>
      </x:c>
      <x:c r="E20" s="25" t="n">
        <x:f>'Subcriterion marks'!AH20</x:f>
        <x:v>57.857142857142854</x:v>
      </x:c>
      <x:c r="F20" s="25" t="n">
        <x:f>'Subcriterion marks'!AI20</x:f>
        <x:v>61.666666666666664</x:v>
      </x:c>
      <x:c r="G20" s="25" t="n">
        <x:f>'Subcriterion marks'!AJ20</x:f>
        <x:v>54.785714285714285</x:v>
      </x:c>
      <x:c r="H20" s="25" t="n">
        <x:f>'Subcriterion marks'!AK20</x:f>
        <x:v>58.51355214780298</x:v>
      </x:c>
      <x:c r="I20" s="25" t="n">
        <x:f>'Subcriterion marks'!AQ20</x:f>
        <x:v>58</x:v>
      </x:c>
    </x:row>
    <x:row r="21" ht="25" customHeight="1">
      <x:c r="A21" s="8" t="str">
        <x:v>Participant_555079_assignsubmission_file</x:v>
      </x:c>
      <x:c r="B21" s="26" t="n">
        <x:f>'Subcriterion marks'!AE21</x:f>
        <x:v>41</x:v>
      </x:c>
      <x:c r="C21" s="26" t="n">
        <x:f>'Subcriterion marks'!AF21</x:f>
        <x:v>70</x:v>
      </x:c>
      <x:c r="D21" s="26" t="n">
        <x:f>'Subcriterion marks'!AG21</x:f>
        <x:v>67</x:v>
      </x:c>
      <x:c r="E21" s="26" t="n">
        <x:f>'Subcriterion marks'!AH21</x:f>
        <x:v>61.42857142857143</x:v>
      </x:c>
      <x:c r="F21" s="26" t="n">
        <x:f>'Subcriterion marks'!AI21</x:f>
        <x:v>69.16666666666667</x:v>
      </x:c>
      <x:c r="G21" s="26" t="n">
        <x:f>'Subcriterion marks'!AJ21</x:f>
        <x:v>61.017857142857146</x:v>
      </x:c>
      <x:c r="H21" s="26" t="n">
        <x:f>'Subcriterion marks'!AK21</x:f>
        <x:v>65.63101009252</x:v>
      </x:c>
      <x:c r="I21" s="26" t="n">
        <x:f>'Subcriterion marks'!AQ21</x:f>
        <x:v>66</x:v>
      </x:c>
    </x:row>
    <x:row r="22" ht="25" customHeight="1">
      <x:c r="A22" s="2" t="str">
        <x:v>Participant_564388_assignsubmission_file</x:v>
      </x:c>
      <x:c r="B22" s="25" t="n">
        <x:f>'Subcriterion marks'!AE22</x:f>
        <x:v>47</x:v>
      </x:c>
      <x:c r="C22" s="25" t="n">
        <x:f>'Subcriterion marks'!AF22</x:f>
        <x:v>52.5</x:v>
      </x:c>
      <x:c r="D22" s="25" t="n">
        <x:f>'Subcriterion marks'!AG22</x:f>
        <x:v>58</x:v>
      </x:c>
      <x:c r="E22" s="25" t="n">
        <x:f>'Subcriterion marks'!AH22</x:f>
        <x:v>61.42857142857143</x:v>
      </x:c>
      <x:c r="F22" s="25" t="n">
        <x:f>'Subcriterion marks'!AI22</x:f>
        <x:v>52.5</x:v>
      </x:c>
      <x:c r="G22" s="25" t="n">
        <x:f>'Subcriterion marks'!AJ22</x:f>
        <x:v>53.392857142857146</x:v>
      </x:c>
      <x:c r="H22" s="25" t="n">
        <x:f>'Subcriterion marks'!AK22</x:f>
        <x:v>56.92283088795219</x:v>
      </x:c>
      <x:c r="I22" s="25" t="n">
        <x:f>'Subcriterion marks'!AQ22</x:f>
        <x:v>57</x:v>
      </x:c>
    </x:row>
    <x:row r="23" ht="25" customHeight="1">
      <x:c r="A23" s="2"/>
      <x:c r="B23" s="9"/>
      <x:c r="C23" s="9"/>
      <x:c r="D23" s="9"/>
      <x:c r="E23" s="9"/>
      <x:c r="F23" s="9"/>
      <x:c r="G23" s="9"/>
      <x:c r="H23" s="9"/>
      <x:c r="I23" s="9"/>
    </x:row>
    <x:row r="24" ht="46" customHeight="1">
      <x:c r="A24" s="7" t="str">
        <x:v>Cohort distribution (percentage points)</x:v>
      </x:c>
      <x:c r="B24" s="13"/>
      <x:c r="C24" s="13"/>
      <x:c r="D24" s="13"/>
      <x:c r="E24" s="13"/>
      <x:c r="F24" s="13"/>
      <x:c r="G24" s="13"/>
      <x:c r="H24" s="13"/>
      <x:c r="I24" s="13"/>
    </x:row>
    <x:row r="25" ht="25" customHeight="1">
      <x:c r="A25" s="2" t="str">
        <x:v>Cohort mean</x:v>
      </x:c>
      <x:c r="B25" s="9" t="n">
        <x:f>AVERAGE(B6:B22)</x:f>
        <x:v>50.411764705882355</x:v>
      </x:c>
      <x:c r="C25" s="9" t="n">
        <x:f>AVERAGE(C6:C22)</x:f>
        <x:v>63.6764705882353</x:v>
      </x:c>
      <x:c r="D25" s="9" t="n">
        <x:f>AVERAGE(D6:D22)</x:f>
        <x:v>63.8235294117647</x:v>
      </x:c>
      <x:c r="E25" s="9" t="n">
        <x:f>AVERAGE(E6:E22)</x:f>
        <x:v>66.63865546218487</x:v>
      </x:c>
      <x:c r="F25" s="9" t="n">
        <x:f>AVERAGE(F6:F22)</x:f>
        <x:v>62.15686274509803</x:v>
      </x:c>
      <x:c r="G25" s="9" t="n">
        <x:f>AVERAGE(G6:G22)</x:f>
        <x:v>60.46533613445378</x:v>
      </x:c>
      <x:c r="H25" s="9" t="n">
        <x:f>AVERAGE(H6:H22)</x:f>
        <x:v>65.00000000000001</x:v>
      </x:c>
      <x:c r="I25" s="9" t="n">
        <x:f>AVERAGE(I6:I22)</x:f>
        <x:v>65</x:v>
      </x:c>
    </x:row>
    <x:row r="26" ht="25" customHeight="1">
      <x:c r="A26" s="2" t="str">
        <x:v>Population SD</x:v>
      </x:c>
      <x:c r="B26" s="9" t="n">
        <x:f>STDEV.P(B6:B22)</x:f>
        <x:v>11.35553155452501</x:v>
      </x:c>
      <x:c r="C26" s="9" t="n">
        <x:f>STDEV.P(C6:C22)</x:f>
        <x:v>11.05563331818347</x:v>
      </x:c>
      <x:c r="D26" s="9" t="n">
        <x:f>STDEV.P(D6:D22)</x:f>
        <x:v>8.016419136905624</x:v>
      </x:c>
      <x:c r="E26" s="9" t="n">
        <x:f>STDEV.P(E6:E22)</x:f>
        <x:v>6.5820370431649975</x:v>
      </x:c>
      <x:c r="F26" s="9" t="n">
        <x:f>STDEV.P(F6:F22)</x:f>
        <x:v>10.270280524555137</x:v>
      </x:c>
      <x:c r="G26" s="9" t="n">
        <x:f>STDEV.P(G6:G22)</x:f>
        <x:v>8.75613583606589</x:v>
      </x:c>
      <x:c r="H26" s="9" t="n">
        <x:f>STDEV.P(H6:H22)</x:f>
        <x:v>10.000000000000002</x:v>
      </x:c>
      <x:c r="I26" s="9" t="n">
        <x:f>STDEV.P(I6:I22)</x:f>
        <x:v>9.952829925674997</x:v>
      </x:c>
    </x:row>
    <x:row r="27" ht="25" customHeight="1">
      <x:c r="A27" s="2" t="str">
        <x:v>Minimum</x:v>
      </x:c>
      <x:c r="B27" s="9" t="n">
        <x:f>MIN(B6:B22)</x:f>
        <x:v>34</x:v>
      </x:c>
      <x:c r="C27" s="9" t="n">
        <x:f>MIN(C6:C22)</x:f>
        <x:v>45</x:v>
      </x:c>
      <x:c r="D27" s="9" t="n">
        <x:f>MIN(D6:D22)</x:f>
        <x:v>49</x:v>
      </x:c>
      <x:c r="E27" s="9" t="n">
        <x:f>MIN(E6:E22)</x:f>
        <x:v>57.857142857142854</x:v>
      </x:c>
      <x:c r="F27" s="9" t="n">
        <x:f>MIN(F6:F22)</x:f>
        <x:v>30</x:v>
      </x:c>
      <x:c r="G27" s="9" t="n">
        <x:f>MIN(G6:G22)</x:f>
        <x:v>46.654761904761905</x:v>
      </x:c>
      <x:c r="H27" s="9" t="n">
        <x:f>MIN(H6:H22)</x:f>
        <x:v>49.22754684457142</x:v>
      </x:c>
      <x:c r="I27" s="9" t="n">
        <x:f>MIN(I6:I22)</x:f>
        <x:v>49</x:v>
      </x:c>
    </x:row>
    <x:row r="28" ht="25" customHeight="1">
      <x:c r="A28" s="2" t="str">
        <x:v>Maximum</x:v>
      </x:c>
      <x:c r="B28" s="9" t="n">
        <x:f>MAX(B6:B22)</x:f>
        <x:v>72</x:v>
      </x:c>
      <x:c r="C28" s="9" t="n">
        <x:f>MAX(C6:C22)</x:f>
        <x:v>82.5</x:v>
      </x:c>
      <x:c r="D28" s="9" t="n">
        <x:f>MAX(D6:D22)</x:f>
        <x:v>74</x:v>
      </x:c>
      <x:c r="E28" s="9" t="n">
        <x:f>MAX(E6:E22)</x:f>
        <x:v>76.42857142857143</x:v>
      </x:c>
      <x:c r="F28" s="9" t="n">
        <x:f>MAX(F6:F22)</x:f>
        <x:v>73.33333333333333</x:v>
      </x:c>
      <x:c r="G28" s="9" t="n">
        <x:f>MAX(G6:G22)</x:f>
        <x:v>75.51785714285714</x:v>
      </x:c>
      <x:c r="H28" s="9" t="n">
        <x:f>MAX(H6:H22)</x:f>
        <x:v>82.19082628481289</x:v>
      </x:c>
      <x:c r="I28" s="9" t="n">
        <x:f>MAX(I6:I22)</x:f>
        <x:v>82</x:v>
      </x:c>
    </x:row>
    <x:row r="29" ht="25" customHeight="1">
      <x:c r="A29" s="2"/>
      <x:c r="B29" s="9"/>
      <x:c r="C29" s="9"/>
      <x:c r="D29" s="9"/>
      <x:c r="E29" s="9"/>
      <x:c r="F29" s="9"/>
      <x:c r="G29" s="9"/>
      <x:c r="H29" s="9"/>
      <x:c r="I29" s="9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46" customHeight="1">
      <x:c r="A32" s="7" t="str">
        <x:v>Configuration</x:v>
      </x:c>
      <x:c r="B32" s="7" t="str">
        <x:v>C1</x:v>
      </x:c>
      <x:c r="C32" s="7" t="str">
        <x:v>C2</x:v>
      </x:c>
      <x:c r="D32" s="7" t="str">
        <x:v>C3</x:v>
      </x:c>
      <x:c r="E32" s="7" t="str">
        <x:v>C4</x:v>
      </x:c>
      <x:c r="F32" s="7" t="str">
        <x:v>C5</x:v>
      </x:c>
      <x:c r="G32" s="2"/>
      <x:c r="H32" s="2"/>
      <x:c r="I32" s="2"/>
    </x:row>
    <x:row r="33" ht="25" customHeight="1">
      <x:c r="A33" s="2" t="str">
        <x:v>Subcriteria</x:v>
      </x:c>
      <x:c r="B33" s="2" t="n">
        <x:v>5</x:v>
      </x:c>
      <x:c r="C33" s="2" t="n">
        <x:v>6</x:v>
      </x:c>
      <x:c r="D33" s="2" t="n">
        <x:v>5</x:v>
      </x:c>
      <x:c r="E33" s="2" t="n">
        <x:v>7</x:v>
      </x:c>
      <x:c r="F33" s="2" t="n">
        <x:v>6</x:v>
      </x:c>
      <x:c r="G33" s="2"/>
      <x:c r="H33" s="2"/>
      <x:c r="I33" s="2"/>
    </x:row>
    <x:row r="34" ht="25" customHeight="1">
      <x:c r="A34" s="2" t="str">
        <x:v>Criterion weight</x:v>
      </x:c>
      <x:c r="B34" s="15" t="n">
        <x:v>0.25</x:v>
      </x:c>
      <x:c r="C34" s="15" t="n">
        <x:v>0.25</x:v>
      </x:c>
      <x:c r="D34" s="15" t="n">
        <x:v>0.25</x:v>
      </x:c>
      <x:c r="E34" s="15" t="n">
        <x:v>0.1</x:v>
      </x:c>
      <x:c r="F34" s="15" t="n">
        <x:v>0.15</x:v>
      </x:c>
      <x:c r="G34" s="2"/>
      <x:c r="H34" s="2"/>
      <x:c r="I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46" customHeight="1">
      <x:c r="A36" s="7" t="str">
        <x:v>Overall moderation target</x:v>
      </x:c>
      <x:c r="B36" s="7" t="str">
        <x:v>Target</x:v>
      </x:c>
      <x:c r="C36" s="2"/>
      <x:c r="D36" s="2"/>
      <x:c r="E36" s="2"/>
      <x:c r="F36" s="2"/>
      <x:c r="G36" s="2"/>
      <x:c r="H36" s="2"/>
      <x:c r="I36" s="2"/>
    </x:row>
    <x:row r="37" ht="25" customHeight="1">
      <x:c r="A37" s="2" t="str">
        <x:v>Mean</x:v>
      </x:c>
      <x:c r="B37" s="16" t="n">
        <x:v>65</x:v>
      </x:c>
      <x:c r="C37" s="2"/>
      <x:c r="D37" s="2"/>
      <x:c r="E37" s="2"/>
      <x:c r="F37" s="2"/>
      <x:c r="G37" s="2"/>
      <x:c r="H37" s="2"/>
      <x:c r="I37" s="2"/>
    </x:row>
    <x:row r="38" ht="25" customHeight="1">
      <x:c r="A38" s="2" t="str">
        <x:v>Population SD</x:v>
      </x:c>
      <x:c r="B38" s="16" t="n">
        <x:v>10</x:v>
      </x:c>
      <x:c r="C38" s="2"/>
      <x:c r="D38" s="2"/>
      <x:c r="E38" s="2"/>
      <x:c r="F38" s="2"/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40" customHeight="1">
      <x:c r="A41" s="4" t="str">
        <x:v>Method: mark each subcriterion independently in five-point increments; average equally within each criterion; apply the weights above without intermediate rounding.</x:v>
      </x:c>
      <x:c r="B41" s="4"/>
      <x:c r="C41" s="4"/>
      <x:c r="D41" s="4"/>
      <x:c r="E41" s="4"/>
      <x:c r="F41" s="4"/>
      <x:c r="G41" s="4"/>
      <x:c r="H41" s="4"/>
      <x:c r="I41" s="4"/>
    </x:row>
    <x:row r="42" ht="40" customHeight="1">
      <x:c r="A42" s="4" t="str">
        <x:v>Overall standardisation = 65 + 10 × (assessed overall − cohort mean) / population SD. The moderated overall applies mean-preserving integer rounding to this result.</x:v>
      </x:c>
      <x:c r="B42" s="4"/>
      <x:c r="C42" s="4"/>
      <x:c r="D42" s="4"/>
      <x:c r="E42" s="4"/>
      <x:c r="F42" s="4"/>
      <x:c r="G42" s="4"/>
      <x:c r="H42" s="4"/>
      <x:c r="I42" s="4"/>
    </x:row>
    <x:row r="43" ht="40" customHeight="1">
      <x:c r="A43" s="4" t="str">
        <x:v>Moderated overall is the adjusted grade for inspection. It does not equal the weighted sum of unchanged subcriterion marks. No additional caps or penalties are applied.</x:v>
      </x:c>
      <x:c r="B43" s="4"/>
      <x:c r="C43" s="4"/>
      <x:c r="D43" s="4"/>
      <x:c r="E43" s="4"/>
      <x:c r="F43" s="4"/>
      <x:c r="G43" s="4"/>
      <x:c r="H43" s="4"/>
      <x:c r="I43" s="4"/>
    </x:row>
    <x:row r="44" ht="40" customHeight="1">
      <x:c r="A44" s="4" t="str">
        <x:v>Stage 1 competence codes remain unchanged in Mark audit. Codes are not mechanically converted into percentages: absent evidence differs from a flawed attempt or a narrow reading range.</x:v>
      </x:c>
      <x:c r="B44" s="4"/>
      <x:c r="C44" s="4"/>
      <x:c r="D44" s="4"/>
      <x:c r="E44" s="4"/>
      <x:c r="F44" s="4"/>
      <x:c r="G44" s="4"/>
      <x:c r="H44" s="4"/>
      <x:c r="I44" s="4"/>
    </x:row>
    <x:row r="45" ht="52" customHeight="1">
      <x:c r="A45" s="4" t="str">
        <x:v>Sources: repository grading_criteria.md (blob 32a75e54169afce0033eea31b83d8fb4f19ea3c3); supplied Essex Online NQF Level 5 descriptors, Version 1 August 2021; 17 source paths and hashes in Subcriterion marks.</x:v>
      </x:c>
      <x:c r="B45" s="4"/>
      <x:c r="C45" s="4"/>
      <x:c r="D45" s="4"/>
      <x:c r="E45" s="4"/>
      <x:c r="F45" s="4"/>
      <x:c r="G45" s="4"/>
      <x:c r="H45" s="4"/>
      <x:c r="I45" s="4"/>
    </x:row>
    <x:row r="46" ht="40" customHeight="1">
      <x:c r="A46" s="4" t="str">
        <x:v>Cross-cohort moderation compared all 29 subcriteria across 17 papers. Two marks changed before aggregation: 555066 C5A 70 to 65; 555077 C4G 70 to 75. Reasons appear below.</x:v>
      </x:c>
      <x:c r="B46" s="4"/>
      <x:c r="C46" s="4"/>
      <x:c r="D46" s="4"/>
      <x:c r="E46" s="4"/>
      <x:c r="F46" s="4"/>
      <x:c r="G46" s="4"/>
      <x:c r="H46" s="4"/>
      <x:c r="I46" s="4"/>
    </x:row>
    <x:row r="47" ht="40" customHeight="1">
      <x:c r="A47" s="4" t="str">
        <x:v>Participant_555077_assignsubmission_file C4G: Approximately 1,635 words and appropriate textual sequence. Do not reduce the mark for unobservable PDF paragraph formatting; retain a manual verification flag.</x:v>
      </x:c>
      <x:c r="B47" s="4"/>
      <x:c r="C47" s="4"/>
      <x:c r="D47" s="4"/>
      <x:c r="E47" s="4"/>
      <x:c r="F47" s="4"/>
      <x:c r="G47" s="4"/>
      <x:c r="H47" s="4"/>
      <x:c r="I47" s="4"/>
    </x:row>
    <x:row r="48" ht="40" customHeight="1">
      <x:c r="A48" s="4" t="str">
        <x:v>Participant_555066_assignsubmission_file C5A: Ten relevant sources meet the range requirement, as in 555059. The rationale did not establish an additional breadth advantage; source quality is assessed separately.</x:v>
      </x:c>
      <x:c r="B48" s="4"/>
      <x:c r="C48" s="4"/>
      <x:c r="D48" s="4"/>
      <x:c r="E48" s="4"/>
      <x:c r="F48" s="4"/>
      <x:c r="G48" s="4"/>
      <x:c r="H48" s="4"/>
      <x:c r="I48" s="4"/>
    </x:row>
    <x:row r="49" ht="40" customHeight="1">
      <x:c r="A49" s="4" t="str">
        <x:v>Review 555077 against the original PDF: extraction flattened paragraphs. Original typography is unverified across normalised submissions and has not attracted a deduction.</x:v>
      </x:c>
      <x:c r="B49" s="4"/>
      <x:c r="C49" s="4"/>
      <x:c r="D49" s="4"/>
      <x:c r="E49" s="4"/>
      <x:c r="F49" s="4"/>
      <x:c r="G49" s="4"/>
      <x:c r="H49" s="4"/>
      <x:c r="I49" s="4"/>
    </x:row>
    <x:row r="50" ht="40" customHeight="1">
      <x:c r="A50" s="4" t="str">
        <x:v>Review 555069 numerical risk/denominator wording; 555074 vegetarian versus vegan inference; 555076 source correspondence and orphan core-text citation. These are assessment issues, not findings of misconduct.</x:v>
      </x:c>
      <x:c r="B50" s="4"/>
      <x:c r="C50" s="4"/>
      <x:c r="D50" s="4"/>
      <x:c r="E50" s="4"/>
      <x:c r="F50" s="4"/>
      <x:c r="G50" s="4"/>
      <x:c r="H50" s="4"/>
      <x:c r="I50" s="4"/>
    </x:row>
    <x:row r="51" ht="40" customHeight="1">
      <x:c r="A51" s="4" t="str">
        <x:v>Approximate blog counts include headings and exclude Methods/references: 555070 1,339; 555071 1,222; 555076 844; 555078 1,270; 555079 1,166; 564388 1,315. Confirm borderline counts in originals.</x:v>
      </x:c>
      <x:c r="B51" s="4"/>
      <x:c r="C51" s="4"/>
      <x:c r="D51" s="4"/>
      <x:c r="E51" s="4"/>
      <x:c r="F51" s="4"/>
      <x:c r="G51" s="4"/>
      <x:c r="H51" s="4"/>
      <x:c r="I51" s="4"/>
    </x:row>
    <x:row r="52" ht="40" customHeight="1">
      <x:c r="A52" s="4" t="str">
        <x:v>555076 and 555079 also have two Methods paragraphs. Scope/format shortcomings affect C4G only; no separate automatic overall deduction is added.</x:v>
      </x:c>
      <x:c r="B52" s="4"/>
      <x:c r="C52" s="4"/>
      <x:c r="D52" s="4"/>
      <x:c r="E52" s="4"/>
      <x:c r="F52" s="4"/>
      <x:c r="G52" s="4"/>
      <x:c r="H52" s="4"/>
      <x:c r="I52" s="4"/>
    </x:row>
    <x:row r="53" ht="40" customHeight="1">
      <x:c r="A53" s="4" t="str">
        <x:v>The percentages are judgement-based Level 5 assessments, not statistically identified values. The 0/.5/1 matrix alone cannot determine unique percentage marks.</x:v>
      </x:c>
      <x:c r="B53" s="4"/>
      <x:c r="C53" s="4"/>
      <x:c r="D53" s="4"/>
      <x:c r="E53" s="4"/>
      <x:c r="F53" s="4"/>
      <x:c r="G53" s="4"/>
      <x:c r="H53" s="4"/>
      <x:c r="I53" s="4"/>
    </x:row>
    <x:row r="54" ht="40" customHeight="1">
      <x:c r="A54" s="4" t="str">
        <x:v>Source authenticity has not been externally audited. Preserve source hashes and rationales when moderating these provisional marks.</x:v>
      </x:c>
      <x:c r="B54" s="4"/>
      <x:c r="C54" s="4"/>
      <x:c r="D54" s="4"/>
      <x:c r="E54" s="4"/>
      <x:c r="F54" s="4"/>
      <x:c r="G54" s="4"/>
      <x:c r="H54" s="4"/>
      <x:c r="I54" s="4"/>
    </x:row>
    <x:row r="55" ht="40" customHeight="1">
      <x:c r="A55" s="4" t="str">
        <x:v>All displayed student marks are whole numbers. Criterion averages and standardisation retain full precision internally; final moderated grades are actual integers, not just formatted decimals.</x:v>
      </x:c>
      <x:c r="B55" s="4"/>
      <x:c r="C55" s="4"/>
      <x:c r="D55" s="4"/>
      <x:c r="E55" s="4"/>
      <x:c r="F55" s="4"/>
      <x:c r="G55" s="4"/>
      <x:c r="H55" s="4"/>
      <x:c r="I55" s="4"/>
    </x:row>
    <x:row r="56" ht="40" customHeight="1">
      <x:c r="A56" s="4" t="str">
        <x:v>Method v1.1: GRADING_METHOD_Independent_Subcriteria.md. Round down each standardised score, then round up the largest fractional remainders until the total equals 65 × N.</x:v>
      </x:c>
      <x:c r="B56" s="4"/>
      <x:c r="C56" s="4"/>
      <x:c r="D56" s="4"/>
      <x:c r="E56" s="4"/>
      <x:c r="F56" s="4"/>
      <x:c r="G56" s="4"/>
      <x:c r="H56" s="4"/>
      <x:c r="I56" s="4"/>
    </x:row>
    <x:row r="57" ht="40" customHeight="1">
      <x:c r="A57" s="4" t="str">
        <x:v>For 17 students the required total is 1,105. Ordinary nearest-integer rounding gives 1,107, so two borderline scores round down to preserve the exact mean of 65.</x:v>
      </x:c>
      <x:c r="B57" s="4"/>
      <x:c r="C57" s="4"/>
      <x:c r="D57" s="4"/>
      <x:c r="E57" s="4"/>
      <x:c r="F57" s="4"/>
      <x:c r="G57" s="4"/>
      <x:c r="H57" s="4"/>
      <x:c r="I57" s="4"/>
    </x:row>
    <x:row r="58" ht="40" customHeight="1">
      <x:c r="A58" s="4" t="str">
        <x:v>Integer rounding changes the SD slightly from 10. Statistics retain decimals for transparency. Subcriterion marks and preserved Stage 1 codes are unchanged.</x:v>
      </x:c>
      <x:c r="B58" s="4"/>
      <x:c r="C58" s="4"/>
      <x:c r="D58" s="4"/>
      <x:c r="E58" s="4"/>
      <x:c r="F58" s="4"/>
      <x:c r="G58" s="4"/>
      <x:c r="H58" s="4"/>
      <x:c r="I58" s="4"/>
    </x:row>
    <x:row r="59" ht="40" customHeight="1">
      <x:c r="A59" s="4" t="str">
        <x:v>Remainder ties use the existing ascending participant-ID order. Identical underlying scores that would be split by rounding require manual review; none occur in this cohort.</x:v>
      </x:c>
      <x:c r="B59" s="4"/>
      <x:c r="C59" s="4"/>
      <x:c r="D59" s="4"/>
      <x:c r="E59" s="4"/>
      <x:c r="F59" s="4"/>
      <x:c r="G59" s="4"/>
      <x:c r="H59" s="4"/>
      <x:c r="I59" s="4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</x:row>
  </x:sheetData>
  <x:mergeCells>
    <x:mergeCell ref="A3:I3"/>
    <x:mergeCell ref="A41:I41"/>
    <x:mergeCell ref="A42:I42"/>
    <x:mergeCell ref="A43:I43"/>
    <x:mergeCell ref="A44:I44"/>
    <x:mergeCell ref="A45:I45"/>
    <x:mergeCell ref="A46:I46"/>
    <x:mergeCell ref="A47:I47"/>
    <x:mergeCell ref="A48:I48"/>
    <x:mergeCell ref="A49:I49"/>
    <x:mergeCell ref="A50:I50"/>
    <x:mergeCell ref="A51:I51"/>
    <x:mergeCell ref="A52:I52"/>
    <x:mergeCell ref="A53:I53"/>
    <x:mergeCell ref="A54:I54"/>
    <x:mergeCell ref="A55:I55"/>
    <x:mergeCell ref="A56:I56"/>
    <x:mergeCell ref="A57:I57"/>
    <x:mergeCell ref="A58:I58"/>
    <x:mergeCell ref="A59:I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B6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9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3" hidden="0" customWidth="1"/>
    <x:col min="41" max="41" width="90" hidden="0" customWidth="1"/>
    <x:col min="42" max="42" width="45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 ht="25" customHeight="1">
      <x:c r="A2" s="3" t="str">
        <x:v>Independent subcriterion percentage marks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 ht="25" customHeight="1">
      <x:c r="A3" s="2" t="str">
        <x:v>Blue cells are independent percentage judgements. Criterion and overall columns calculate from them; source identifiers sit at the right.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 ht="46" customHeight="1">
      <x:c r="A5" s="7" t="str">
        <x:v>Participant ID</x:v>
      </x:c>
      <x:c r="B5" s="7" t="str">
        <x:v>C1A</x:v>
      </x:c>
      <x:c r="C5" s="7" t="str">
        <x:v>C1B</x:v>
      </x:c>
      <x:c r="D5" s="7" t="str">
        <x:v>C1C</x:v>
      </x:c>
      <x:c r="E5" s="7" t="str">
        <x:v>C1D</x:v>
      </x:c>
      <x:c r="F5" s="7" t="str">
        <x:v>C1E</x:v>
      </x:c>
      <x:c r="G5" s="7" t="str">
        <x:v>C2A</x:v>
      </x:c>
      <x:c r="H5" s="7" t="str">
        <x:v>C2B</x:v>
      </x:c>
      <x:c r="I5" s="7" t="str">
        <x:v>C2C</x:v>
      </x:c>
      <x:c r="J5" s="7" t="str">
        <x:v>C2D</x:v>
      </x:c>
      <x:c r="K5" s="7" t="str">
        <x:v>C2E</x:v>
      </x:c>
      <x:c r="L5" s="7" t="str">
        <x:v>C2F</x:v>
      </x:c>
      <x:c r="M5" s="7" t="str">
        <x:v>C3A</x:v>
      </x:c>
      <x:c r="N5" s="7" t="str">
        <x:v>C3B</x:v>
      </x:c>
      <x:c r="O5" s="7" t="str">
        <x:v>C3C</x:v>
      </x:c>
      <x:c r="P5" s="7" t="str">
        <x:v>C3D</x:v>
      </x:c>
      <x:c r="Q5" s="7" t="str">
        <x:v>C3E</x:v>
      </x:c>
      <x:c r="R5" s="7" t="str">
        <x:v>C4A</x:v>
      </x:c>
      <x:c r="S5" s="7" t="str">
        <x:v>C4B</x:v>
      </x:c>
      <x:c r="T5" s="7" t="str">
        <x:v>C4C</x:v>
      </x:c>
      <x:c r="U5" s="7" t="str">
        <x:v>C4D</x:v>
      </x:c>
      <x:c r="V5" s="7" t="str">
        <x:v>C4E</x:v>
      </x:c>
      <x:c r="W5" s="7" t="str">
        <x:v>C4F</x:v>
      </x:c>
      <x:c r="X5" s="7" t="str">
        <x:v>C4G</x:v>
      </x:c>
      <x:c r="Y5" s="7" t="str">
        <x:v>C5A</x:v>
      </x:c>
      <x:c r="Z5" s="7" t="str">
        <x:v>C5B</x:v>
      </x:c>
      <x:c r="AA5" s="7" t="str">
        <x:v>C5C</x:v>
      </x:c>
      <x:c r="AB5" s="7" t="str">
        <x:v>C5D</x:v>
      </x:c>
      <x:c r="AC5" s="7" t="str">
        <x:v>C5E</x:v>
      </x:c>
      <x:c r="AD5" s="7" t="str">
        <x:v>C5F</x:v>
      </x:c>
      <x:c r="AE5" s="7" t="str">
        <x:v>C1 mean</x:v>
      </x:c>
      <x:c r="AF5" s="7" t="str">
        <x:v>C2 mean</x:v>
      </x:c>
      <x:c r="AG5" s="7" t="str">
        <x:v>C3 mean</x:v>
      </x:c>
      <x:c r="AH5" s="7" t="str">
        <x:v>C4 mean</x:v>
      </x:c>
      <x:c r="AI5" s="7" t="str">
        <x:v>C5 mean</x:v>
      </x:c>
      <x:c r="AJ5" s="7" t="str">
        <x:v>Assessed overall</x:v>
      </x:c>
      <x:c r="AK5" s="7" t="str">
        <x:v>Standardised comparison</x:v>
      </x:c>
      <x:c r="AL5" s="7" t="str">
        <x:v>Adjustment</x:v>
      </x:c>
      <x:c r="AM5" s="7" t="str">
        <x:v>Comparison bounds</x:v>
      </x:c>
      <x:c r="AN5" s="7" t="str"/>
      <x:c r="AO5" s="7" t="str">
        <x:v>Repository source path</x:v>
      </x:c>
      <x:c r="AP5" s="7" t="str">
        <x:v>Source blob SHA</x:v>
      </x:c>
      <x:c r="AQ5" s="30" t="str">
        <x:v>Moderated overall</x:v>
      </x:c>
      <x:c r="AR5" s="30" t="str">
        <x:v>Rounding floor</x:v>
      </x:c>
      <x:c r="AS5" s="30" t="str">
        <x:v>Fractional remainder</x:v>
      </x:c>
      <x:c r="AT5" s="30" t="str">
        <x:v>Remainder priority</x:v>
      </x:c>
    </x:row>
    <x:row r="6" ht="25" customHeight="1">
      <x:c r="A6" s="2" t="str">
        <x:v>Participant_555059_assignsubmission_file</x:v>
      </x:c>
      <x:c r="B6" s="18" t="n">
        <x:v>75</x:v>
      </x:c>
      <x:c r="C6" s="18" t="n">
        <x:v>75</x:v>
      </x:c>
      <x:c r="D6" s="18" t="n">
        <x:v>75</x:v>
      </x:c>
      <x:c r="E6" s="18" t="n">
        <x:v>0</x:v>
      </x:c>
      <x:c r="F6" s="18" t="n">
        <x:v>70</x:v>
      </x:c>
      <x:c r="G6" s="18" t="n">
        <x:v>75</x:v>
      </x:c>
      <x:c r="H6" s="18" t="n">
        <x:v>70</x:v>
      </x:c>
      <x:c r="I6" s="18" t="n">
        <x:v>75</x:v>
      </x:c>
      <x:c r="J6" s="18" t="n">
        <x:v>75</x:v>
      </x:c>
      <x:c r="K6" s="18" t="n">
        <x:v>70</x:v>
      </x:c>
      <x:c r="L6" s="18" t="n">
        <x:v>75</x:v>
      </x:c>
      <x:c r="M6" s="18" t="n">
        <x:v>75</x:v>
      </x:c>
      <x:c r="N6" s="18" t="n">
        <x:v>65</x:v>
      </x:c>
      <x:c r="O6" s="18" t="n">
        <x:v>75</x:v>
      </x:c>
      <x:c r="P6" s="18" t="n">
        <x:v>75</x:v>
      </x:c>
      <x:c r="Q6" s="18" t="n">
        <x:v>75</x:v>
      </x:c>
      <x:c r="R6" s="18" t="n">
        <x:v>70</x:v>
      </x:c>
      <x:c r="S6" s="18" t="n">
        <x:v>75</x:v>
      </x:c>
      <x:c r="T6" s="18" t="n">
        <x:v>75</x:v>
      </x:c>
      <x:c r="U6" s="18" t="n">
        <x:v>70</x:v>
      </x:c>
      <x:c r="V6" s="18" t="n">
        <x:v>75</x:v>
      </x:c>
      <x:c r="W6" s="18" t="n">
        <x:v>70</x:v>
      </x:c>
      <x:c r="X6" s="18" t="n">
        <x:v>75</x:v>
      </x:c>
      <x:c r="Y6" s="18" t="n">
        <x:v>65</x:v>
      </x:c>
      <x:c r="Z6" s="18" t="n">
        <x:v>75</x:v>
      </x:c>
      <x:c r="AA6" s="18" t="n">
        <x:v>70</x:v>
      </x:c>
      <x:c r="AB6" s="18" t="n">
        <x:v>70</x:v>
      </x:c>
      <x:c r="AC6" s="18" t="n">
        <x:v>75</x:v>
      </x:c>
      <x:c r="AD6" s="18" t="n">
        <x:v>75</x:v>
      </x:c>
      <x:c r="AE6" s="25" t="n">
        <x:f>AVERAGE(B6:F6)</x:f>
        <x:v>59</x:v>
      </x:c>
      <x:c r="AF6" s="25" t="n">
        <x:f>AVERAGE(G6:L6)</x:f>
        <x:v>73.33333333333333</x:v>
      </x:c>
      <x:c r="AG6" s="25" t="n">
        <x:f>AVERAGE(M6:Q6)</x:f>
        <x:v>73</x:v>
      </x:c>
      <x:c r="AH6" s="25" t="n">
        <x:f>AVERAGE(R6:X6)</x:f>
        <x:v>72.85714285714286</x:v>
      </x:c>
      <x:c r="AI6" s="25" t="n">
        <x:f>AVERAGE(Y6:AD6)</x:f>
        <x:v>71.66666666666667</x:v>
      </x:c>
      <x:c r="AJ6" s="25" t="n">
        <x:f>SUMPRODUCT(AE6:AI6,Overview!$B$34:$F$34)</x:f>
        <x:v>69.36904761904762</x:v>
      </x:c>
      <x:c r="AK6" s="25" t="n">
        <x:f>IF($AJ$26=0,"Undefined",Overview!$B$37+Overview!$B$38*(AJ6-$AJ$25)/$AJ$26)</x:f>
        <x:v>75.16853969752285</x:v>
      </x:c>
      <x:c r="AL6" s="25" t="n">
        <x:f>IF($AJ$26=0,"Undefined",AK6-AJ6)</x:f>
        <x:v>5.799492078475225</x:v>
      </x:c>
      <x:c r="AM6" s="2" t="str">
        <x:f>IF($AJ$26=0,"Undefined",IF(OR(AK6&lt;0,AK6&gt;100),"Review bounds","Within 0–100"))</x:f>
        <x:v>Within 0–100</x:v>
      </x:c>
      <x:c r="AN6" s="2"/>
      <x:c r="AO6" s="2" t="str">
        <x:v>RDM/RDM_Aug_26_Case_Study/Participant_555059_assignsubmission_file/blog post.md</x:v>
      </x:c>
      <x:c r="AP6" s="2" t="str">
        <x:v>fd1b5a5153ec162fae5bd4e1a5a8c13d15275401</x:v>
      </x:c>
      <x:c r="AQ6" s="32" t="n">
        <x:f>AR6+IF(AT6&lt;=Overview!$B$37*COUNT($AJ$6:$AJ$22)-SUM($AR$6:$AR$22),1,0)</x:f>
        <x:v>75</x:v>
      </x:c>
      <x:c r="AR6" s="32" t="n">
        <x:f>INT(AK6)</x:f>
        <x:v>75</x:v>
      </x:c>
      <x:c r="AS6" s="34" t="n">
        <x:f>AK6-AR6</x:f>
        <x:v>0.1685396975228457</x:v>
      </x:c>
      <x:c r="AT6" s="32" t="n">
        <x:f>RANK(AS6,$AS$6:$AS$22,0)+COUNTIF($AS$6:AS6,AS6)-1</x:f>
        <x:v>17</x:v>
      </x:c>
    </x:row>
    <x:row r="7" ht="25" customHeight="1">
      <x:c r="A7" s="8" t="str">
        <x:v>Participant_555060_assignsubmission_file</x:v>
      </x:c>
      <x:c r="B7" s="19" t="n">
        <x:v>50</x:v>
      </x:c>
      <x:c r="C7" s="19" t="n">
        <x:v>0</x:v>
      </x:c>
      <x:c r="D7" s="19" t="n">
        <x:v>55</x:v>
      </x:c>
      <x:c r="E7" s="19" t="n">
        <x:v>0</x:v>
      </x:c>
      <x:c r="F7" s="19" t="n">
        <x:v>65</x:v>
      </x:c>
      <x:c r="G7" s="19" t="n">
        <x:v>70</x:v>
      </x:c>
      <x:c r="H7" s="19" t="n">
        <x:v>55</x:v>
      </x:c>
      <x:c r="I7" s="19" t="n">
        <x:v>55</x:v>
      </x:c>
      <x:c r="J7" s="19" t="n">
        <x:v>50</x:v>
      </x:c>
      <x:c r="K7" s="19" t="n">
        <x:v>65</x:v>
      </x:c>
      <x:c r="L7" s="19" t="n">
        <x:v>65</x:v>
      </x:c>
      <x:c r="M7" s="19" t="n">
        <x:v>50</x:v>
      </x:c>
      <x:c r="N7" s="19" t="n">
        <x:v>50</x:v>
      </x:c>
      <x:c r="O7" s="19" t="n">
        <x:v>65</x:v>
      </x:c>
      <x:c r="P7" s="19" t="n">
        <x:v>70</x:v>
      </x:c>
      <x:c r="Q7" s="19" t="n">
        <x:v>65</x:v>
      </x:c>
      <x:c r="R7" s="19" t="n">
        <x:v>65</x:v>
      </x:c>
      <x:c r="S7" s="19" t="n">
        <x:v>70</x:v>
      </x:c>
      <x:c r="T7" s="19" t="n">
        <x:v>70</x:v>
      </x:c>
      <x:c r="U7" s="19" t="n">
        <x:v>70</x:v>
      </x:c>
      <x:c r="V7" s="19" t="n">
        <x:v>65</x:v>
      </x:c>
      <x:c r="W7" s="19" t="n">
        <x:v>70</x:v>
      </x:c>
      <x:c r="X7" s="19" t="n">
        <x:v>75</x:v>
      </x:c>
      <x:c r="Y7" s="19" t="n">
        <x:v>40</x:v>
      </x:c>
      <x:c r="Z7" s="19" t="n">
        <x:v>70</x:v>
      </x:c>
      <x:c r="AA7" s="19" t="n">
        <x:v>50</x:v>
      </x:c>
      <x:c r="AB7" s="19" t="n">
        <x:v>25</x:v>
      </x:c>
      <x:c r="AC7" s="19" t="n">
        <x:v>65</x:v>
      </x:c>
      <x:c r="AD7" s="19" t="n">
        <x:v>55</x:v>
      </x:c>
      <x:c r="AE7" s="26" t="n">
        <x:f>AVERAGE(B7:F7)</x:f>
        <x:v>34</x:v>
      </x:c>
      <x:c r="AF7" s="26" t="n">
        <x:f>AVERAGE(G7:L7)</x:f>
        <x:v>60</x:v>
      </x:c>
      <x:c r="AG7" s="26" t="n">
        <x:f>AVERAGE(M7:Q7)</x:f>
        <x:v>60</x:v>
      </x:c>
      <x:c r="AH7" s="26" t="n">
        <x:f>AVERAGE(R7:X7)</x:f>
        <x:v>69.28571428571429</x:v>
      </x:c>
      <x:c r="AI7" s="26" t="n">
        <x:f>AVERAGE(Y7:AD7)</x:f>
        <x:v>50.833333333333336</x:v>
      </x:c>
      <x:c r="AJ7" s="26" t="n">
        <x:f>SUMPRODUCT(AE7:AI7,Overview!$B$34:$F$34)</x:f>
        <x:v>53.05357142857143</x:v>
      </x:c>
      <x:c r="AK7" s="26" t="n">
        <x:f>IF($AJ$26=0,"Undefined",Overview!$B$37+Overview!$B$38*(AJ7-$AJ$25)/$AJ$26)</x:f>
        <x:v>56.53534750414238</x:v>
      </x:c>
      <x:c r="AL7" s="26" t="n">
        <x:f>IF($AJ$26=0,"Undefined",AK7-AJ7)</x:f>
        <x:v>3.4817760755709486</x:v>
      </x:c>
      <x:c r="AM7" s="8" t="str">
        <x:f>IF($AJ$26=0,"Undefined",IF(OR(AK7&lt;0,AK7&gt;100),"Review bounds","Within 0–100"))</x:f>
        <x:v>Within 0–100</x:v>
      </x:c>
      <x:c r="AN7" s="8"/>
      <x:c r="AO7" s="8" t="str">
        <x:v>RDM/RDM_Aug_26_Case_Study/Participant_555060_assignsubmission_file/Unit 6 essay Rev.md</x:v>
      </x:c>
      <x:c r="AP7" s="8" t="str">
        <x:v>35e833fec71aedef1c7def2908626bf4f4e1c8e4</x:v>
      </x:c>
      <x:c r="AQ7" s="33" t="n">
        <x:f>AR7+IF(AT7&lt;=Overview!$B$37*COUNT($AJ$6:$AJ$22)-SUM($AR$6:$AR$22),1,0)</x:f>
        <x:v>57</x:v>
      </x:c>
      <x:c r="AR7" s="33" t="n">
        <x:f>INT(AK7)</x:f>
        <x:v>56</x:v>
      </x:c>
      <x:c r="AS7" s="35" t="n">
        <x:f>AK7-AR7</x:f>
        <x:v>0.5353475041423792</x:v>
      </x:c>
      <x:c r="AT7" s="33" t="n">
        <x:f>RANK(AS7,$AS$6:$AS$22,0)+COUNTIF($AS$6:AS7,AS7)-1</x:f>
        <x:v>10</x:v>
      </x:c>
    </x:row>
    <x:row r="8" ht="25" customHeight="1">
      <x:c r="A8" s="2" t="str">
        <x:v>Participant_555062_assignsubmission_file</x:v>
      </x:c>
      <x:c r="B8" s="18" t="n">
        <x:v>55</x:v>
      </x:c>
      <x:c r="C8" s="18" t="n">
        <x:v>70</x:v>
      </x:c>
      <x:c r="D8" s="18" t="n">
        <x:v>70</x:v>
      </x:c>
      <x:c r="E8" s="18" t="n">
        <x:v>25</x:v>
      </x:c>
      <x:c r="F8" s="18" t="n">
        <x:v>65</x:v>
      </x:c>
      <x:c r="G8" s="18" t="n">
        <x:v>75</x:v>
      </x:c>
      <x:c r="H8" s="18" t="n">
        <x:v>55</x:v>
      </x:c>
      <x:c r="I8" s="18" t="n">
        <x:v>70</x:v>
      </x:c>
      <x:c r="J8" s="18" t="n">
        <x:v>70</x:v>
      </x:c>
      <x:c r="K8" s="18" t="n">
        <x:v>70</x:v>
      </x:c>
      <x:c r="L8" s="18" t="n">
        <x:v>70</x:v>
      </x:c>
      <x:c r="M8" s="18" t="n">
        <x:v>70</x:v>
      </x:c>
      <x:c r="N8" s="18" t="n">
        <x:v>70</x:v>
      </x:c>
      <x:c r="O8" s="18" t="n">
        <x:v>70</x:v>
      </x:c>
      <x:c r="P8" s="18" t="n">
        <x:v>65</x:v>
      </x:c>
      <x:c r="Q8" s="18" t="n">
        <x:v>65</x:v>
      </x:c>
      <x:c r="R8" s="18" t="n">
        <x:v>65</x:v>
      </x:c>
      <x:c r="S8" s="18" t="n">
        <x:v>70</x:v>
      </x:c>
      <x:c r="T8" s="18" t="n">
        <x:v>70</x:v>
      </x:c>
      <x:c r="U8" s="18" t="n">
        <x:v>65</x:v>
      </x:c>
      <x:c r="V8" s="18" t="n">
        <x:v>70</x:v>
      </x:c>
      <x:c r="W8" s="18" t="n">
        <x:v>45</x:v>
      </x:c>
      <x:c r="X8" s="18" t="n">
        <x:v>75</x:v>
      </x:c>
      <x:c r="Y8" s="18" t="n">
        <x:v>75</x:v>
      </x:c>
      <x:c r="Z8" s="18" t="n">
        <x:v>70</x:v>
      </x:c>
      <x:c r="AA8" s="18" t="n">
        <x:v>75</x:v>
      </x:c>
      <x:c r="AB8" s="18" t="n">
        <x:v>65</x:v>
      </x:c>
      <x:c r="AC8" s="18" t="n">
        <x:v>70</x:v>
      </x:c>
      <x:c r="AD8" s="18" t="n">
        <x:v>70</x:v>
      </x:c>
      <x:c r="AE8" s="25" t="n">
        <x:f>AVERAGE(B8:F8)</x:f>
        <x:v>57</x:v>
      </x:c>
      <x:c r="AF8" s="25" t="n">
        <x:f>AVERAGE(G8:L8)</x:f>
        <x:v>68.33333333333333</x:v>
      </x:c>
      <x:c r="AG8" s="25" t="n">
        <x:f>AVERAGE(M8:Q8)</x:f>
        <x:v>68</x:v>
      </x:c>
      <x:c r="AH8" s="25" t="n">
        <x:f>AVERAGE(R8:X8)</x:f>
        <x:v>65.71428571428571</x:v>
      </x:c>
      <x:c r="AI8" s="25" t="n">
        <x:f>AVERAGE(Y8:AD8)</x:f>
        <x:v>70.83333333333333</x:v>
      </x:c>
      <x:c r="AJ8" s="25" t="n">
        <x:f>SUMPRODUCT(AE8:AI8,Overview!$B$34:$F$34)</x:f>
        <x:v>65.5297619047619</x:v>
      </x:c>
      <x:c r="AK8" s="25" t="n">
        <x:f>IF($AJ$26=0,"Undefined",Overview!$B$37+Overview!$B$38*(AJ8-$AJ$25)/$AJ$26)</x:f>
        <x:v>70.78385930178027</x:v>
      </x:c>
      <x:c r="AL8" s="25" t="n">
        <x:f>IF($AJ$26=0,"Undefined",AK8-AJ8)</x:f>
        <x:v>5.25409739701837</x:v>
      </x:c>
      <x:c r="AM8" s="2" t="str">
        <x:f>IF($AJ$26=0,"Undefined",IF(OR(AK8&lt;0,AK8&gt;100),"Review bounds","Within 0–100"))</x:f>
        <x:v>Within 0–100</x:v>
      </x:c>
      <x:c r="AN8" s="2"/>
      <x:c r="AO8" s="2" t="str">
        <x:v>RDM/RDM_Aug_26_Case_Study/Participant_555062_assignsubmission_file/Online vs Traditional Education.md</x:v>
      </x:c>
      <x:c r="AP8" s="2" t="str">
        <x:v>8b668c9c330a5ad5f5fccb8ec36c0ed190024f12</x:v>
      </x:c>
      <x:c r="AQ8" s="32" t="n">
        <x:f>AR8+IF(AT8&lt;=Overview!$B$37*COUNT($AJ$6:$AJ$22)-SUM($AR$6:$AR$22),1,0)</x:f>
        <x:v>71</x:v>
      </x:c>
      <x:c r="AR8" s="32" t="n">
        <x:f>INT(AK8)</x:f>
        <x:v>70</x:v>
      </x:c>
      <x:c r="AS8" s="34" t="n">
        <x:f>AK8-AR8</x:f>
        <x:v>0.783859301780268</x:v>
      </x:c>
      <x:c r="AT8" s="32" t="n">
        <x:f>RANK(AS8,$AS$6:$AS$22,0)+COUNTIF($AS$6:AS8,AS8)-1</x:f>
        <x:v>6</x:v>
      </x:c>
    </x:row>
    <x:row r="9" ht="25" customHeight="1">
      <x:c r="A9" s="8" t="str">
        <x:v>Participant_555064_assignsubmission_file</x:v>
      </x:c>
      <x:c r="B9" s="19" t="n">
        <x:v>80</x:v>
      </x:c>
      <x:c r="C9" s="19" t="n">
        <x:v>80</x:v>
      </x:c>
      <x:c r="D9" s="19" t="n">
        <x:v>80</x:v>
      </x:c>
      <x:c r="E9" s="19" t="n">
        <x:v>0</x:v>
      </x:c>
      <x:c r="F9" s="19" t="n">
        <x:v>70</x:v>
      </x:c>
      <x:c r="G9" s="19" t="n">
        <x:v>80</x:v>
      </x:c>
      <x:c r="H9" s="19" t="n">
        <x:v>80</x:v>
      </x:c>
      <x:c r="I9" s="19" t="n">
        <x:v>80</x:v>
      </x:c>
      <x:c r="J9" s="19" t="n">
        <x:v>85</x:v>
      </x:c>
      <x:c r="K9" s="19" t="n">
        <x:v>75</x:v>
      </x:c>
      <x:c r="L9" s="19" t="n">
        <x:v>80</x:v>
      </x:c>
      <x:c r="M9" s="19" t="n">
        <x:v>80</x:v>
      </x:c>
      <x:c r="N9" s="19" t="n">
        <x:v>55</x:v>
      </x:c>
      <x:c r="O9" s="19" t="n">
        <x:v>80</x:v>
      </x:c>
      <x:c r="P9" s="19" t="n">
        <x:v>75</x:v>
      </x:c>
      <x:c r="Q9" s="19" t="n">
        <x:v>75</x:v>
      </x:c>
      <x:c r="R9" s="19" t="n">
        <x:v>75</x:v>
      </x:c>
      <x:c r="S9" s="19" t="n">
        <x:v>80</x:v>
      </x:c>
      <x:c r="T9" s="19" t="n">
        <x:v>80</x:v>
      </x:c>
      <x:c r="U9" s="19" t="n">
        <x:v>80</x:v>
      </x:c>
      <x:c r="V9" s="19" t="n">
        <x:v>75</x:v>
      </x:c>
      <x:c r="W9" s="19" t="n">
        <x:v>70</x:v>
      </x:c>
      <x:c r="X9" s="19" t="n">
        <x:v>75</x:v>
      </x:c>
      <x:c r="Y9" s="19" t="n">
        <x:v>55</x:v>
      </x:c>
      <x:c r="Z9" s="19" t="n">
        <x:v>80</x:v>
      </x:c>
      <x:c r="AA9" s="19" t="n">
        <x:v>75</x:v>
      </x:c>
      <x:c r="AB9" s="19" t="n">
        <x:v>30</x:v>
      </x:c>
      <x:c r="AC9" s="19" t="n">
        <x:v>80</x:v>
      </x:c>
      <x:c r="AD9" s="19" t="n">
        <x:v>80</x:v>
      </x:c>
      <x:c r="AE9" s="26" t="n">
        <x:f>AVERAGE(B9:F9)</x:f>
        <x:v>62</x:v>
      </x:c>
      <x:c r="AF9" s="26" t="n">
        <x:f>AVERAGE(G9:L9)</x:f>
        <x:v>80</x:v>
      </x:c>
      <x:c r="AG9" s="26" t="n">
        <x:f>AVERAGE(M9:Q9)</x:f>
        <x:v>73</x:v>
      </x:c>
      <x:c r="AH9" s="26" t="n">
        <x:f>AVERAGE(R9:X9)</x:f>
        <x:v>76.42857142857143</x:v>
      </x:c>
      <x:c r="AI9" s="26" t="n">
        <x:f>AVERAGE(Y9:AD9)</x:f>
        <x:v>66.66666666666667</x:v>
      </x:c>
      <x:c r="AJ9" s="26" t="n">
        <x:f>SUMPRODUCT(AE9:AI9,Overview!$B$34:$F$34)</x:f>
        <x:v>71.39285714285714</x:v>
      </x:c>
      <x:c r="AK9" s="26" t="n">
        <x:f>IF($AJ$26=0,"Undefined",Overview!$B$37+Overview!$B$38*(AJ9-$AJ$25)/$AJ$26)</x:f>
        <x:v>77.47984409217784</x:v>
      </x:c>
      <x:c r="AL9" s="26" t="n">
        <x:f>IF($AJ$26=0,"Undefined",AK9-AJ9)</x:f>
        <x:v>6.086986949320703</x:v>
      </x:c>
      <x:c r="AM9" s="8" t="str">
        <x:f>IF($AJ$26=0,"Undefined",IF(OR(AK9&lt;0,AK9&gt;100),"Review bounds","Within 0–100"))</x:f>
        <x:v>Within 0–100</x:v>
      </x:c>
      <x:c r="AN9" s="8"/>
      <x:c r="AO9" s="8" t="str">
        <x:v>RDM/RDM_Aug_26_Case_Study/Participant_555064_assignsubmission_file/AI Should Be in Education — But It Should Never Do the Thinking for Us.md</x:v>
      </x:c>
      <x:c r="AP9" s="8" t="str">
        <x:v>d0c5b7842bae624f6bdf113976977c635367ecd9</x:v>
      </x:c>
      <x:c r="AQ9" s="33" t="n">
        <x:f>AR9+IF(AT9&lt;=Overview!$B$37*COUNT($AJ$6:$AJ$22)-SUM($AR$6:$AR$22),1,0)</x:f>
        <x:v>77</x:v>
      </x:c>
      <x:c r="AR9" s="33" t="n">
        <x:f>INT(AK9)</x:f>
        <x:v>77</x:v>
      </x:c>
      <x:c r="AS9" s="35" t="n">
        <x:f>AK9-AR9</x:f>
        <x:v>0.4798440921778422</x:v>
      </x:c>
      <x:c r="AT9" s="33" t="n">
        <x:f>RANK(AS9,$AS$6:$AS$22,0)+COUNTIF($AS$6:AS9,AS9)-1</x:f>
        <x:v>13</x:v>
      </x:c>
    </x:row>
    <x:row r="10" ht="25" customHeight="1">
      <x:c r="A10" s="2" t="str">
        <x:v>Participant_555065_assignsubmission_file</x:v>
      </x:c>
      <x:c r="B10" s="18" t="n">
        <x:v>75</x:v>
      </x:c>
      <x:c r="C10" s="18" t="n">
        <x:v>75</x:v>
      </x:c>
      <x:c r="D10" s="18" t="n">
        <x:v>70</x:v>
      </x:c>
      <x:c r="E10" s="18" t="n">
        <x:v>55</x:v>
      </x:c>
      <x:c r="F10" s="18" t="n">
        <x:v>70</x:v>
      </x:c>
      <x:c r="G10" s="18" t="n">
        <x:v>75</x:v>
      </x:c>
      <x:c r="H10" s="18" t="n">
        <x:v>55</x:v>
      </x:c>
      <x:c r="I10" s="18" t="n">
        <x:v>75</x:v>
      </x:c>
      <x:c r="J10" s="18" t="n">
        <x:v>70</x:v>
      </x:c>
      <x:c r="K10" s="18" t="n">
        <x:v>70</x:v>
      </x:c>
      <x:c r="L10" s="18" t="n">
        <x:v>70</x:v>
      </x:c>
      <x:c r="M10" s="18" t="n">
        <x:v>70</x:v>
      </x:c>
      <x:c r="N10" s="18" t="n">
        <x:v>55</x:v>
      </x:c>
      <x:c r="O10" s="18" t="n">
        <x:v>70</x:v>
      </x:c>
      <x:c r="P10" s="18" t="n">
        <x:v>75</x:v>
      </x:c>
      <x:c r="Q10" s="18" t="n">
        <x:v>70</x:v>
      </x:c>
      <x:c r="R10" s="18" t="n">
        <x:v>70</x:v>
      </x:c>
      <x:c r="S10" s="18" t="n">
        <x:v>75</x:v>
      </x:c>
      <x:c r="T10" s="18" t="n">
        <x:v>70</x:v>
      </x:c>
      <x:c r="U10" s="18" t="n">
        <x:v>75</x:v>
      </x:c>
      <x:c r="V10" s="18" t="n">
        <x:v>70</x:v>
      </x:c>
      <x:c r="W10" s="18" t="n">
        <x:v>50</x:v>
      </x:c>
      <x:c r="X10" s="18" t="n">
        <x:v>75</x:v>
      </x:c>
      <x:c r="Y10" s="18" t="n">
        <x:v>55</x:v>
      </x:c>
      <x:c r="Z10" s="18" t="n">
        <x:v>75</x:v>
      </x:c>
      <x:c r="AA10" s="18" t="n">
        <x:v>70</x:v>
      </x:c>
      <x:c r="AB10" s="18" t="n">
        <x:v>65</x:v>
      </x:c>
      <x:c r="AC10" s="18" t="n">
        <x:v>70</x:v>
      </x:c>
      <x:c r="AD10" s="18" t="n">
        <x:v>70</x:v>
      </x:c>
      <x:c r="AE10" s="25" t="n">
        <x:f>AVERAGE(B10:F10)</x:f>
        <x:v>69</x:v>
      </x:c>
      <x:c r="AF10" s="25" t="n">
        <x:f>AVERAGE(G10:L10)</x:f>
        <x:v>69.16666666666667</x:v>
      </x:c>
      <x:c r="AG10" s="25" t="n">
        <x:f>AVERAGE(M10:Q10)</x:f>
        <x:v>68</x:v>
      </x:c>
      <x:c r="AH10" s="25" t="n">
        <x:f>AVERAGE(R10:X10)</x:f>
        <x:v>69.28571428571429</x:v>
      </x:c>
      <x:c r="AI10" s="25" t="n">
        <x:f>AVERAGE(Y10:AD10)</x:f>
        <x:v>67.5</x:v>
      </x:c>
      <x:c r="AJ10" s="25" t="n">
        <x:f>SUMPRODUCT(AE10:AI10,Overview!$B$34:$F$34)</x:f>
        <x:v>68.5952380952381</x:v>
      </x:c>
      <x:c r="AK10" s="25" t="n">
        <x:f>IF($AJ$26=0,"Undefined",Overview!$B$37+Overview!$B$38*(AJ10-$AJ$25)/$AJ$26)</x:f>
        <x:v>74.28480566427241</x:v>
      </x:c>
      <x:c r="AL10" s="25" t="n">
        <x:f>IF($AJ$26=0,"Undefined",AK10-AJ10)</x:f>
        <x:v>5.68956756903431</x:v>
      </x:c>
      <x:c r="AM10" s="2" t="str">
        <x:f>IF($AJ$26=0,"Undefined",IF(OR(AK10&lt;0,AK10&gt;100),"Review bounds","Within 0–100"))</x:f>
        <x:v>Within 0–100</x:v>
      </x:c>
      <x:c r="AN10" s="2"/>
      <x:c r="AO10" s="2" t="str">
        <x:v>RDM/RDM_Aug_26_Case_Study/Participant_555065_assignsubmission_file/HuffPost Vegetarian v Omnivore.md</x:v>
      </x:c>
      <x:c r="AP10" s="2" t="str">
        <x:v>6c996dd073644346ccf058536400b96750bdf99a</x:v>
      </x:c>
      <x:c r="AQ10" s="32" t="n">
        <x:f>AR10+IF(AT10&lt;=Overview!$B$37*COUNT($AJ$6:$AJ$22)-SUM($AR$6:$AR$22),1,0)</x:f>
        <x:v>74</x:v>
      </x:c>
      <x:c r="AR10" s="32" t="n">
        <x:f>INT(AK10)</x:f>
        <x:v>74</x:v>
      </x:c>
      <x:c r="AS10" s="34" t="n">
        <x:f>AK10-AR10</x:f>
        <x:v>0.2848056642724117</x:v>
      </x:c>
      <x:c r="AT10" s="32" t="n">
        <x:f>RANK(AS10,$AS$6:$AS$22,0)+COUNTIF($AS$6:AS10,AS10)-1</x:f>
        <x:v>14</x:v>
      </x:c>
    </x:row>
    <x:row r="11" ht="25" customHeight="1">
      <x:c r="A11" s="8" t="str">
        <x:v>Participant_555066_assignsubmission_file</x:v>
      </x:c>
      <x:c r="B11" s="19" t="n">
        <x:v>75</x:v>
      </x:c>
      <x:c r="C11" s="19" t="n">
        <x:v>75</x:v>
      </x:c>
      <x:c r="D11" s="19" t="n">
        <x:v>75</x:v>
      </x:c>
      <x:c r="E11" s="19" t="n">
        <x:v>0</x:v>
      </x:c>
      <x:c r="F11" s="19" t="n">
        <x:v>70</x:v>
      </x:c>
      <x:c r="G11" s="19" t="n">
        <x:v>75</x:v>
      </x:c>
      <x:c r="H11" s="19" t="n">
        <x:v>70</x:v>
      </x:c>
      <x:c r="I11" s="19" t="n">
        <x:v>75</x:v>
      </x:c>
      <x:c r="J11" s="19" t="n">
        <x:v>75</x:v>
      </x:c>
      <x:c r="K11" s="19" t="n">
        <x:v>75</x:v>
      </x:c>
      <x:c r="L11" s="19" t="n">
        <x:v>75</x:v>
      </x:c>
      <x:c r="M11" s="19" t="n">
        <x:v>75</x:v>
      </x:c>
      <x:c r="N11" s="19" t="n">
        <x:v>75</x:v>
      </x:c>
      <x:c r="O11" s="19" t="n">
        <x:v>75</x:v>
      </x:c>
      <x:c r="P11" s="19" t="n">
        <x:v>70</x:v>
      </x:c>
      <x:c r="Q11" s="19" t="n">
        <x:v>75</x:v>
      </x:c>
      <x:c r="R11" s="19" t="n">
        <x:v>70</x:v>
      </x:c>
      <x:c r="S11" s="19" t="n">
        <x:v>75</x:v>
      </x:c>
      <x:c r="T11" s="19" t="n">
        <x:v>75</x:v>
      </x:c>
      <x:c r="U11" s="19" t="n">
        <x:v>75</x:v>
      </x:c>
      <x:c r="V11" s="19" t="n">
        <x:v>70</x:v>
      </x:c>
      <x:c r="W11" s="19" t="n">
        <x:v>55</x:v>
      </x:c>
      <x:c r="X11" s="19" t="n">
        <x:v>75</x:v>
      </x:c>
      <x:c r="Y11" s="19" t="n">
        <x:v>65</x:v>
      </x:c>
      <x:c r="Z11" s="19" t="n">
        <x:v>75</x:v>
      </x:c>
      <x:c r="AA11" s="19" t="n">
        <x:v>75</x:v>
      </x:c>
      <x:c r="AB11" s="19" t="n">
        <x:v>45</x:v>
      </x:c>
      <x:c r="AC11" s="19" t="n">
        <x:v>75</x:v>
      </x:c>
      <x:c r="AD11" s="19" t="n">
        <x:v>75</x:v>
      </x:c>
      <x:c r="AE11" s="26" t="n">
        <x:f>AVERAGE(B11:F11)</x:f>
        <x:v>59</x:v>
      </x:c>
      <x:c r="AF11" s="26" t="n">
        <x:f>AVERAGE(G11:L11)</x:f>
        <x:v>74.16666666666667</x:v>
      </x:c>
      <x:c r="AG11" s="26" t="n">
        <x:f>AVERAGE(M11:Q11)</x:f>
        <x:v>74</x:v>
      </x:c>
      <x:c r="AH11" s="26" t="n">
        <x:f>AVERAGE(R11:X11)</x:f>
        <x:v>70.71428571428571</x:v>
      </x:c>
      <x:c r="AI11" s="26" t="n">
        <x:f>AVERAGE(Y11:AD11)</x:f>
        <x:v>68.33333333333333</x:v>
      </x:c>
      <x:c r="AJ11" s="26" t="n">
        <x:f>SUMPRODUCT(AE11:AI11,Overview!$B$34:$F$34)</x:f>
        <x:v>69.11309523809524</x:v>
      </x:c>
      <x:c r="AK11" s="26" t="n">
        <x:f>IF($AJ$26=0,"Undefined",Overview!$B$37+Overview!$B$38*(AJ11-$AJ$25)/$AJ$26)</x:f>
        <x:v>74.87622767114001</x:v>
      </x:c>
      <x:c r="AL11" s="26" t="n">
        <x:f>IF($AJ$26=0,"Undefined",AK11-AJ11)</x:f>
        <x:v>5.763132433044774</x:v>
      </x:c>
      <x:c r="AM11" s="8" t="str">
        <x:f>IF($AJ$26=0,"Undefined",IF(OR(AK11&lt;0,AK11&gt;100),"Review bounds","Within 0–100"))</x:f>
        <x:v>Within 0–100</x:v>
      </x:c>
      <x:c r="AN11" s="8"/>
      <x:c r="AO11" s="8" t="str">
        <x:v>RDM/RDM_Aug_26_Case_Study/Participant_555066_assignsubmission_file/AI Can and Should be part of Education but with Limits.md</x:v>
      </x:c>
      <x:c r="AP11" s="8" t="str">
        <x:v>cc7b0426b6759e81ad0926a7357155e34abcc7f2</x:v>
      </x:c>
      <x:c r="AQ11" s="33" t="n">
        <x:f>AR11+IF(AT11&lt;=Overview!$B$37*COUNT($AJ$6:$AJ$22)-SUM($AR$6:$AR$22),1,0)</x:f>
        <x:v>75</x:v>
      </x:c>
      <x:c r="AR11" s="33" t="n">
        <x:f>INT(AK11)</x:f>
        <x:v>74</x:v>
      </x:c>
      <x:c r="AS11" s="35" t="n">
        <x:f>AK11-AR11</x:f>
        <x:v>0.8762276711400148</x:v>
      </x:c>
      <x:c r="AT11" s="33" t="n">
        <x:f>RANK(AS11,$AS$6:$AS$22,0)+COUNTIF($AS$6:AS11,AS11)-1</x:f>
        <x:v>3</x:v>
      </x:c>
    </x:row>
    <x:row r="12" ht="25" customHeight="1">
      <x:c r="A12" s="2" t="str">
        <x:v>Participant_555069_assignsubmission_file</x:v>
      </x:c>
      <x:c r="B12" s="18" t="n">
        <x:v>50</x:v>
      </x:c>
      <x:c r="C12" s="18" t="n">
        <x:v>45</x:v>
      </x:c>
      <x:c r="D12" s="18" t="n">
        <x:v>50</x:v>
      </x:c>
      <x:c r="E12" s="18" t="n">
        <x:v>25</x:v>
      </x:c>
      <x:c r="F12" s="18" t="n">
        <x:v>45</x:v>
      </x:c>
      <x:c r="G12" s="18" t="n">
        <x:v>60</x:v>
      </x:c>
      <x:c r="H12" s="18" t="n">
        <x:v>45</x:v>
      </x:c>
      <x:c r="I12" s="18" t="n">
        <x:v>25</x:v>
      </x:c>
      <x:c r="J12" s="18" t="n">
        <x:v>45</x:v>
      </x:c>
      <x:c r="K12" s="18" t="n">
        <x:v>50</x:v>
      </x:c>
      <x:c r="L12" s="18" t="n">
        <x:v>45</x:v>
      </x:c>
      <x:c r="M12" s="18" t="n">
        <x:v>45</x:v>
      </x:c>
      <x:c r="N12" s="18" t="n">
        <x:v>45</x:v>
      </x:c>
      <x:c r="O12" s="18" t="n">
        <x:v>45</x:v>
      </x:c>
      <x:c r="P12" s="18" t="n">
        <x:v>65</x:v>
      </x:c>
      <x:c r="Q12" s="18" t="n">
        <x:v>45</x:v>
      </x:c>
      <x:c r="R12" s="18" t="n">
        <x:v>50</x:v>
      </x:c>
      <x:c r="S12" s="18" t="n">
        <x:v>65</x:v>
      </x:c>
      <x:c r="T12" s="18" t="n">
        <x:v>60</x:v>
      </x:c>
      <x:c r="U12" s="18" t="n">
        <x:v>65</x:v>
      </x:c>
      <x:c r="V12" s="18" t="n">
        <x:v>45</x:v>
      </x:c>
      <x:c r="W12" s="18" t="n">
        <x:v>45</x:v>
      </x:c>
      <x:c r="X12" s="18" t="n">
        <x:v>75</x:v>
      </x:c>
      <x:c r="Y12" s="18" t="n">
        <x:v>75</x:v>
      </x:c>
      <x:c r="Z12" s="18" t="n">
        <x:v>65</x:v>
      </x:c>
      <x:c r="AA12" s="18" t="n">
        <x:v>65</x:v>
      </x:c>
      <x:c r="AB12" s="18" t="n">
        <x:v>50</x:v>
      </x:c>
      <x:c r="AC12" s="18" t="n">
        <x:v>60</x:v>
      </x:c>
      <x:c r="AD12" s="18" t="n">
        <x:v>45</x:v>
      </x:c>
      <x:c r="AE12" s="25" t="n">
        <x:f>AVERAGE(B12:F12)</x:f>
        <x:v>43</x:v>
      </x:c>
      <x:c r="AF12" s="25" t="n">
        <x:f>AVERAGE(G12:L12)</x:f>
        <x:v>45</x:v>
      </x:c>
      <x:c r="AG12" s="25" t="n">
        <x:f>AVERAGE(M12:Q12)</x:f>
        <x:v>49</x:v>
      </x:c>
      <x:c r="AH12" s="25" t="n">
        <x:f>AVERAGE(R12:X12)</x:f>
        <x:v>57.857142857142854</x:v>
      </x:c>
      <x:c r="AI12" s="25" t="n">
        <x:f>AVERAGE(Y12:AD12)</x:f>
        <x:v>60</x:v>
      </x:c>
      <x:c r="AJ12" s="25" t="n">
        <x:f>SUMPRODUCT(AE12:AI12,Overview!$B$34:$F$34)</x:f>
        <x:v>49.035714285714285</x:v>
      </x:c>
      <x:c r="AK12" s="25" t="n">
        <x:f>IF($AJ$26=0,"Undefined",Overview!$B$37+Overview!$B$38*(AJ12-$AJ$25)/$AJ$26)</x:f>
        <x:v>51.94672848534201</x:v>
      </x:c>
      <x:c r="AL12" s="25" t="n">
        <x:f>IF($AJ$26=0,"Undefined",AK12-AJ12)</x:f>
        <x:v>2.911014199627722</x:v>
      </x:c>
      <x:c r="AM12" s="2" t="str">
        <x:f>IF($AJ$26=0,"Undefined",IF(OR(AK12&lt;0,AK12&gt;100),"Review bounds","Within 0–100"))</x:f>
        <x:v>Within 0–100</x:v>
      </x:c>
      <x:c r="AN12" s="2"/>
      <x:c r="AO12" s="2" t="str">
        <x:v>RDM/RDM_Aug_26_Case_Study/Participant_555069_assignsubmission_file/Assignment Question.md</x:v>
      </x:c>
      <x:c r="AP12" s="2" t="str">
        <x:v>150cc055bff299f5d08dff97f1f1f631c1420416</x:v>
      </x:c>
      <x:c r="AQ12" s="32" t="n">
        <x:f>AR12+IF(AT12&lt;=Overview!$B$37*COUNT($AJ$6:$AJ$22)-SUM($AR$6:$AR$22),1,0)</x:f>
        <x:v>52</x:v>
      </x:c>
      <x:c r="AR12" s="32" t="n">
        <x:f>INT(AK12)</x:f>
        <x:v>51</x:v>
      </x:c>
      <x:c r="AS12" s="34" t="n">
        <x:f>AK12-AR12</x:f>
        <x:v>0.9467284853420068</x:v>
      </x:c>
      <x:c r="AT12" s="32" t="n">
        <x:f>RANK(AS12,$AS$6:$AS$22,0)+COUNTIF($AS$6:AS12,AS12)-1</x:f>
        <x:v>1</x:v>
      </x:c>
    </x:row>
    <x:row r="13" ht="25" customHeight="1">
      <x:c r="A13" s="8" t="str">
        <x:v>Participant_555070_assignsubmission_file</x:v>
      </x:c>
      <x:c r="B13" s="19" t="n">
        <x:v>55</x:v>
      </x:c>
      <x:c r="C13" s="19" t="n">
        <x:v>65</x:v>
      </x:c>
      <x:c r="D13" s="19" t="n">
        <x:v>50</x:v>
      </x:c>
      <x:c r="E13" s="19" t="n">
        <x:v>0</x:v>
      </x:c>
      <x:c r="F13" s="19" t="n">
        <x:v>50</x:v>
      </x:c>
      <x:c r="G13" s="19" t="n">
        <x:v>65</x:v>
      </x:c>
      <x:c r="H13" s="19" t="n">
        <x:v>40</x:v>
      </x:c>
      <x:c r="I13" s="19" t="n">
        <x:v>45</x:v>
      </x:c>
      <x:c r="J13" s="19" t="n">
        <x:v>50</x:v>
      </x:c>
      <x:c r="K13" s="19" t="n">
        <x:v>45</x:v>
      </x:c>
      <x:c r="L13" s="19" t="n">
        <x:v>45</x:v>
      </x:c>
      <x:c r="M13" s="19" t="n">
        <x:v>50</x:v>
      </x:c>
      <x:c r="N13" s="19" t="n">
        <x:v>50</x:v>
      </x:c>
      <x:c r="O13" s="19" t="n">
        <x:v>45</x:v>
      </x:c>
      <x:c r="P13" s="19" t="n">
        <x:v>70</x:v>
      </x:c>
      <x:c r="Q13" s="19" t="n">
        <x:v>45</x:v>
      </x:c>
      <x:c r="R13" s="19" t="n">
        <x:v>65</x:v>
      </x:c>
      <x:c r="S13" s="19" t="n">
        <x:v>70</x:v>
      </x:c>
      <x:c r="T13" s="19" t="n">
        <x:v>65</x:v>
      </x:c>
      <x:c r="U13" s="19" t="n">
        <x:v>65</x:v>
      </x:c>
      <x:c r="V13" s="19" t="n">
        <x:v>50</x:v>
      </x:c>
      <x:c r="W13" s="19" t="n">
        <x:v>45</x:v>
      </x:c>
      <x:c r="X13" s="19" t="n">
        <x:v>65</x:v>
      </x:c>
      <x:c r="Y13" s="19" t="n">
        <x:v>30</x:v>
      </x:c>
      <x:c r="Z13" s="19" t="n">
        <x:v>50</x:v>
      </x:c>
      <x:c r="AA13" s="19" t="n">
        <x:v>35</x:v>
      </x:c>
      <x:c r="AB13" s="19" t="n">
        <x:v>25</x:v>
      </x:c>
      <x:c r="AC13" s="19" t="n">
        <x:v>0</x:v>
      </x:c>
      <x:c r="AD13" s="19" t="n">
        <x:v>40</x:v>
      </x:c>
      <x:c r="AE13" s="26" t="n">
        <x:f>AVERAGE(B13:F13)</x:f>
        <x:v>44</x:v>
      </x:c>
      <x:c r="AF13" s="26" t="n">
        <x:f>AVERAGE(G13:L13)</x:f>
        <x:v>48.333333333333336</x:v>
      </x:c>
      <x:c r="AG13" s="26" t="n">
        <x:f>AVERAGE(M13:Q13)</x:f>
        <x:v>52</x:v>
      </x:c>
      <x:c r="AH13" s="26" t="n">
        <x:f>AVERAGE(R13:X13)</x:f>
        <x:v>60.714285714285715</x:v>
      </x:c>
      <x:c r="AI13" s="26" t="n">
        <x:f>AVERAGE(Y13:AD13)</x:f>
        <x:v>30</x:v>
      </x:c>
      <x:c r="AJ13" s="26" t="n">
        <x:f>SUMPRODUCT(AE13:AI13,Overview!$B$34:$F$34)</x:f>
        <x:v>46.654761904761905</x:v>
      </x:c>
      <x:c r="AK13" s="26" t="n">
        <x:f>IF($AJ$26=0,"Undefined",Overview!$B$37+Overview!$B$38*(AJ13-$AJ$25)/$AJ$26)</x:f>
        <x:v>49.22754684457142</x:v>
      </x:c>
      <x:c r="AL13" s="26" t="n">
        <x:f>IF($AJ$26=0,"Undefined",AK13-AJ13)</x:f>
        <x:v>2.572784939809516</x:v>
      </x:c>
      <x:c r="AM13" s="8" t="str">
        <x:f>IF($AJ$26=0,"Undefined",IF(OR(AK13&lt;0,AK13&gt;100),"Review bounds","Within 0–100"))</x:f>
        <x:v>Within 0–100</x:v>
      </x:c>
      <x:c r="AN13" s="8"/>
      <x:c r="AO13" s="8" t="str">
        <x:v>RDM/RDM_Aug_26_Case_Study/Participant_555070_assignsubmission_file/Why “Conscientious Omnivorism” is the Future of Food.md</x:v>
      </x:c>
      <x:c r="AP13" s="8" t="str">
        <x:v>ed0986287bebdc2a51c00d9187aba269a380a677</x:v>
      </x:c>
      <x:c r="AQ13" s="33" t="n">
        <x:f>AR13+IF(AT13&lt;=Overview!$B$37*COUNT($AJ$6:$AJ$22)-SUM($AR$6:$AR$22),1,0)</x:f>
        <x:v>49</x:v>
      </x:c>
      <x:c r="AR13" s="33" t="n">
        <x:f>INT(AK13)</x:f>
        <x:v>49</x:v>
      </x:c>
      <x:c r="AS13" s="35" t="n">
        <x:f>AK13-AR13</x:f>
        <x:v>0.22754684457142105</x:v>
      </x:c>
      <x:c r="AT13" s="33" t="n">
        <x:f>RANK(AS13,$AS$6:$AS$22,0)+COUNTIF($AS$6:AS13,AS13)-1</x:f>
        <x:v>15</x:v>
      </x:c>
    </x:row>
    <x:row r="14" ht="25" customHeight="1">
      <x:c r="A14" s="2" t="str">
        <x:v>Participant_555071_assignsubmission_file</x:v>
      </x:c>
      <x:c r="B14" s="18" t="n">
        <x:v>55</x:v>
      </x:c>
      <x:c r="C14" s="18" t="n">
        <x:v>0</x:v>
      </x:c>
      <x:c r="D14" s="18" t="n">
        <x:v>55</x:v>
      </x:c>
      <x:c r="E14" s="18" t="n">
        <x:v>45</x:v>
      </x:c>
      <x:c r="F14" s="18" t="n">
        <x:v>60</x:v>
      </x:c>
      <x:c r="G14" s="18" t="n">
        <x:v>65</x:v>
      </x:c>
      <x:c r="H14" s="18" t="n">
        <x:v>55</x:v>
      </x:c>
      <x:c r="I14" s="18" t="n">
        <x:v>50</x:v>
      </x:c>
      <x:c r="J14" s="18" t="n">
        <x:v>55</x:v>
      </x:c>
      <x:c r="K14" s="18" t="n">
        <x:v>50</x:v>
      </x:c>
      <x:c r="L14" s="18" t="n">
        <x:v>50</x:v>
      </x:c>
      <x:c r="M14" s="18" t="n">
        <x:v>50</x:v>
      </x:c>
      <x:c r="N14" s="18" t="n">
        <x:v>50</x:v>
      </x:c>
      <x:c r="O14" s="18" t="n">
        <x:v>55</x:v>
      </x:c>
      <x:c r="P14" s="18" t="n">
        <x:v>55</x:v>
      </x:c>
      <x:c r="Q14" s="18" t="n">
        <x:v>55</x:v>
      </x:c>
      <x:c r="R14" s="18" t="n">
        <x:v>65</x:v>
      </x:c>
      <x:c r="S14" s="18" t="n">
        <x:v>65</x:v>
      </x:c>
      <x:c r="T14" s="18" t="n">
        <x:v>65</x:v>
      </x:c>
      <x:c r="U14" s="18" t="n">
        <x:v>50</x:v>
      </x:c>
      <x:c r="V14" s="18" t="n">
        <x:v>55</x:v>
      </x:c>
      <x:c r="W14" s="18" t="n">
        <x:v>70</x:v>
      </x:c>
      <x:c r="X14" s="18" t="n">
        <x:v>50</x:v>
      </x:c>
      <x:c r="Y14" s="18" t="n">
        <x:v>55</x:v>
      </x:c>
      <x:c r="Z14" s="18" t="n">
        <x:v>75</x:v>
      </x:c>
      <x:c r="AA14" s="18" t="n">
        <x:v>70</x:v>
      </x:c>
      <x:c r="AB14" s="18" t="n">
        <x:v>30</x:v>
      </x:c>
      <x:c r="AC14" s="18" t="n">
        <x:v>70</x:v>
      </x:c>
      <x:c r="AD14" s="18" t="n">
        <x:v>55</x:v>
      </x:c>
      <x:c r="AE14" s="25" t="n">
        <x:f>AVERAGE(B14:F14)</x:f>
        <x:v>43</x:v>
      </x:c>
      <x:c r="AF14" s="25" t="n">
        <x:f>AVERAGE(G14:L14)</x:f>
        <x:v>54.166666666666664</x:v>
      </x:c>
      <x:c r="AG14" s="25" t="n">
        <x:f>AVERAGE(M14:Q14)</x:f>
        <x:v>53</x:v>
      </x:c>
      <x:c r="AH14" s="25" t="n">
        <x:f>AVERAGE(R14:X14)</x:f>
        <x:v>60</x:v>
      </x:c>
      <x:c r="AI14" s="25" t="n">
        <x:f>AVERAGE(Y14:AD14)</x:f>
        <x:v>59.166666666666664</x:v>
      </x:c>
      <x:c r="AJ14" s="25" t="n">
        <x:f>SUMPRODUCT(AE14:AI14,Overview!$B$34:$F$34)</x:f>
        <x:v>52.416666666666664</x:v>
      </x:c>
      <x:c r="AK14" s="25" t="n">
        <x:f>IF($AJ$26=0,"Undefined",Overview!$B$37+Overview!$B$38*(AJ14-$AJ$25)/$AJ$26)</x:f>
        <x:v>55.807966415236244</x:v>
      </x:c>
      <x:c r="AL14" s="25" t="n">
        <x:f>IF($AJ$26=0,"Undefined",AK14-AJ14)</x:f>
        <x:v>3.3912997485695797</x:v>
      </x:c>
      <x:c r="AM14" s="2" t="str">
        <x:f>IF($AJ$26=0,"Undefined",IF(OR(AK14&lt;0,AK14&gt;100),"Review bounds","Within 0–100"))</x:f>
        <x:v>Within 0–100</x:v>
      </x:c>
      <x:c r="AN14" s="2"/>
      <x:c r="AO14" s="2" t="str">
        <x:v>RDM/RDM_Aug_26_Case_Study/Participant_555071_assignsubmission_file/Case study - Online vs Traditional Education.md</x:v>
      </x:c>
      <x:c r="AP14" s="2" t="str">
        <x:v>24155530889c12af50c61eb5900c811090e440cd</x:v>
      </x:c>
      <x:c r="AQ14" s="32" t="n">
        <x:f>AR14+IF(AT14&lt;=Overview!$B$37*COUNT($AJ$6:$AJ$22)-SUM($AR$6:$AR$22),1,0)</x:f>
        <x:v>56</x:v>
      </x:c>
      <x:c r="AR14" s="32" t="n">
        <x:f>INT(AK14)</x:f>
        <x:v>55</x:v>
      </x:c>
      <x:c r="AS14" s="34" t="n">
        <x:f>AK14-AR14</x:f>
        <x:v>0.807966415236244</x:v>
      </x:c>
      <x:c r="AT14" s="32" t="n">
        <x:f>RANK(AS14,$AS$6:$AS$22,0)+COUNTIF($AS$6:AS14,AS14)-1</x:f>
        <x:v>5</x:v>
      </x:c>
    </x:row>
    <x:row r="15" ht="25" customHeight="1">
      <x:c r="A15" s="8" t="str">
        <x:v>Participant_555072_assignsubmission_file</x:v>
      </x:c>
      <x:c r="B15" s="19" t="n">
        <x:v>75</x:v>
      </x:c>
      <x:c r="C15" s="19" t="n">
        <x:v>75</x:v>
      </x:c>
      <x:c r="D15" s="19" t="n">
        <x:v>75</x:v>
      </x:c>
      <x:c r="E15" s="19" t="n">
        <x:v>60</x:v>
      </x:c>
      <x:c r="F15" s="19" t="n">
        <x:v>75</x:v>
      </x:c>
      <x:c r="G15" s="19" t="n">
        <x:v>80</x:v>
      </x:c>
      <x:c r="H15" s="19" t="n">
        <x:v>85</x:v>
      </x:c>
      <x:c r="I15" s="19" t="n">
        <x:v>85</x:v>
      </x:c>
      <x:c r="J15" s="19" t="n">
        <x:v>85</x:v>
      </x:c>
      <x:c r="K15" s="19" t="n">
        <x:v>80</x:v>
      </x:c>
      <x:c r="L15" s="19" t="n">
        <x:v>80</x:v>
      </x:c>
      <x:c r="M15" s="19" t="n">
        <x:v>75</x:v>
      </x:c>
      <x:c r="N15" s="19" t="n">
        <x:v>55</x:v>
      </x:c>
      <x:c r="O15" s="19" t="n">
        <x:v>80</x:v>
      </x:c>
      <x:c r="P15" s="19" t="n">
        <x:v>80</x:v>
      </x:c>
      <x:c r="Q15" s="19" t="n">
        <x:v>80</x:v>
      </x:c>
      <x:c r="R15" s="19" t="n">
        <x:v>75</x:v>
      </x:c>
      <x:c r="S15" s="19" t="n">
        <x:v>80</x:v>
      </x:c>
      <x:c r="T15" s="19" t="n">
        <x:v>75</x:v>
      </x:c>
      <x:c r="U15" s="19" t="n">
        <x:v>80</x:v>
      </x:c>
      <x:c r="V15" s="19" t="n">
        <x:v>75</x:v>
      </x:c>
      <x:c r="W15" s="19" t="n">
        <x:v>75</x:v>
      </x:c>
      <x:c r="X15" s="19" t="n">
        <x:v>75</x:v>
      </x:c>
      <x:c r="Y15" s="19" t="n">
        <x:v>60</x:v>
      </x:c>
      <x:c r="Z15" s="19" t="n">
        <x:v>80</x:v>
      </x:c>
      <x:c r="AA15" s="19" t="n">
        <x:v>75</x:v>
      </x:c>
      <x:c r="AB15" s="19" t="n">
        <x:v>45</x:v>
      </x:c>
      <x:c r="AC15" s="19" t="n">
        <x:v>85</x:v>
      </x:c>
      <x:c r="AD15" s="19" t="n">
        <x:v>85</x:v>
      </x:c>
      <x:c r="AE15" s="26" t="n">
        <x:f>AVERAGE(B15:F15)</x:f>
        <x:v>72</x:v>
      </x:c>
      <x:c r="AF15" s="26" t="n">
        <x:f>AVERAGE(G15:L15)</x:f>
        <x:v>82.5</x:v>
      </x:c>
      <x:c r="AG15" s="26" t="n">
        <x:f>AVERAGE(M15:Q15)</x:f>
        <x:v>74</x:v>
      </x:c>
      <x:c r="AH15" s="26" t="n">
        <x:f>AVERAGE(R15:X15)</x:f>
        <x:v>76.42857142857143</x:v>
      </x:c>
      <x:c r="AI15" s="26" t="n">
        <x:f>AVERAGE(Y15:AD15)</x:f>
        <x:v>71.66666666666667</x:v>
      </x:c>
      <x:c r="AJ15" s="26" t="n">
        <x:f>SUMPRODUCT(AE15:AI15,Overview!$B$34:$F$34)</x:f>
        <x:v>75.51785714285714</x:v>
      </x:c>
      <x:c r="AK15" s="26" t="n">
        <x:f>IF($AJ$26=0,"Undefined",Overview!$B$37+Overview!$B$38*(AJ15-$AJ$25)/$AJ$26)</x:f>
        <x:v>82.19082628481289</x:v>
      </x:c>
      <x:c r="AL15" s="26" t="n">
        <x:f>IF($AJ$26=0,"Undefined",AK15-AJ15)</x:f>
        <x:v>6.672969141955747</x:v>
      </x:c>
      <x:c r="AM15" s="8" t="str">
        <x:f>IF($AJ$26=0,"Undefined",IF(OR(AK15&lt;0,AK15&gt;100),"Review bounds","Within 0–100"))</x:f>
        <x:v>Within 0–100</x:v>
      </x:c>
      <x:c r="AN15" s="8"/>
      <x:c r="AO15" s="8" t="str">
        <x:v>RDM/RDM_Aug_26_Case_Study/Participant_555072_assignsubmission_file/Case Study - Blog Post.md</x:v>
      </x:c>
      <x:c r="AP15" s="8" t="str">
        <x:v>b545607a9ce1c184ce7e2d09a34940464de27d26</x:v>
      </x:c>
      <x:c r="AQ15" s="33" t="n">
        <x:f>AR15+IF(AT15&lt;=Overview!$B$37*COUNT($AJ$6:$AJ$22)-SUM($AR$6:$AR$22),1,0)</x:f>
        <x:v>82</x:v>
      </x:c>
      <x:c r="AR15" s="33" t="n">
        <x:f>INT(AK15)</x:f>
        <x:v>82</x:v>
      </x:c>
      <x:c r="AS15" s="35" t="n">
        <x:f>AK15-AR15</x:f>
        <x:v>0.19082628481288566</x:v>
      </x:c>
      <x:c r="AT15" s="33" t="n">
        <x:f>RANK(AS15,$AS$6:$AS$22,0)+COUNTIF($AS$6:AS15,AS15)-1</x:f>
        <x:v>16</x:v>
      </x:c>
    </x:row>
    <x:row r="16" ht="25" customHeight="1">
      <x:c r="A16" s="2" t="str">
        <x:v>Participant_555073_assignsubmission_file</x:v>
      </x:c>
      <x:c r="B16" s="18" t="n">
        <x:v>75</x:v>
      </x:c>
      <x:c r="C16" s="18" t="n">
        <x:v>75</x:v>
      </x:c>
      <x:c r="D16" s="18" t="n">
        <x:v>75</x:v>
      </x:c>
      <x:c r="E16" s="18" t="n">
        <x:v>0</x:v>
      </x:c>
      <x:c r="F16" s="18" t="n">
        <x:v>75</x:v>
      </x:c>
      <x:c r="G16" s="18" t="n">
        <x:v>80</x:v>
      </x:c>
      <x:c r="H16" s="18" t="n">
        <x:v>60</x:v>
      </x:c>
      <x:c r="I16" s="18" t="n">
        <x:v>80</x:v>
      </x:c>
      <x:c r="J16" s="18" t="n">
        <x:v>75</x:v>
      </x:c>
      <x:c r="K16" s="18" t="n">
        <x:v>80</x:v>
      </x:c>
      <x:c r="L16" s="18" t="n">
        <x:v>75</x:v>
      </x:c>
      <x:c r="M16" s="18" t="n">
        <x:v>75</x:v>
      </x:c>
      <x:c r="N16" s="18" t="n">
        <x:v>55</x:v>
      </x:c>
      <x:c r="O16" s="18" t="n">
        <x:v>80</x:v>
      </x:c>
      <x:c r="P16" s="18" t="n">
        <x:v>80</x:v>
      </x:c>
      <x:c r="Q16" s="18" t="n">
        <x:v>75</x:v>
      </x:c>
      <x:c r="R16" s="18" t="n">
        <x:v>75</x:v>
      </x:c>
      <x:c r="S16" s="18" t="n">
        <x:v>80</x:v>
      </x:c>
      <x:c r="T16" s="18" t="n">
        <x:v>75</x:v>
      </x:c>
      <x:c r="U16" s="18" t="n">
        <x:v>80</x:v>
      </x:c>
      <x:c r="V16" s="18" t="n">
        <x:v>75</x:v>
      </x:c>
      <x:c r="W16" s="18" t="n">
        <x:v>75</x:v>
      </x:c>
      <x:c r="X16" s="18" t="n">
        <x:v>75</x:v>
      </x:c>
      <x:c r="Y16" s="18" t="n">
        <x:v>60</x:v>
      </x:c>
      <x:c r="Z16" s="18" t="n">
        <x:v>75</x:v>
      </x:c>
      <x:c r="AA16" s="18" t="n">
        <x:v>75</x:v>
      </x:c>
      <x:c r="AB16" s="18" t="n">
        <x:v>80</x:v>
      </x:c>
      <x:c r="AC16" s="18" t="n">
        <x:v>70</x:v>
      </x:c>
      <x:c r="AD16" s="18" t="n">
        <x:v>80</x:v>
      </x:c>
      <x:c r="AE16" s="25" t="n">
        <x:f>AVERAGE(B16:F16)</x:f>
        <x:v>60</x:v>
      </x:c>
      <x:c r="AF16" s="25" t="n">
        <x:f>AVERAGE(G16:L16)</x:f>
        <x:v>75</x:v>
      </x:c>
      <x:c r="AG16" s="25" t="n">
        <x:f>AVERAGE(M16:Q16)</x:f>
        <x:v>73</x:v>
      </x:c>
      <x:c r="AH16" s="25" t="n">
        <x:f>AVERAGE(R16:X16)</x:f>
        <x:v>76.42857142857143</x:v>
      </x:c>
      <x:c r="AI16" s="25" t="n">
        <x:f>AVERAGE(Y16:AD16)</x:f>
        <x:v>73.33333333333333</x:v>
      </x:c>
      <x:c r="AJ16" s="25" t="n">
        <x:f>SUMPRODUCT(AE16:AI16,Overview!$B$34:$F$34)</x:f>
        <x:v>70.64285714285714</x:v>
      </x:c>
      <x:c r="AK16" s="25" t="n">
        <x:f>IF($AJ$26=0,"Undefined",Overview!$B$37+Overview!$B$38*(AJ16-$AJ$25)/$AJ$26)</x:f>
        <x:v>76.6233018753351</x:v>
      </x:c>
      <x:c r="AL16" s="25" t="n">
        <x:f>IF($AJ$26=0,"Undefined",AK16-AJ16)</x:f>
        <x:v>5.980444732477963</x:v>
      </x:c>
      <x:c r="AM16" s="2" t="str">
        <x:f>IF($AJ$26=0,"Undefined",IF(OR(AK16&lt;0,AK16&gt;100),"Review bounds","Within 0–100"))</x:f>
        <x:v>Within 0–100</x:v>
      </x:c>
      <x:c r="AN16" s="2"/>
      <x:c r="AO16" s="2" t="str">
        <x:v>RDM/RDM_Aug_26_Case_Study/Participant_555073_assignsubmission_file/Blog Post - Unit 6 Assignment - Case Study.md</x:v>
      </x:c>
      <x:c r="AP16" s="2" t="str">
        <x:v>51304fe042179d309e97bb1999af5e9201f8dae8</x:v>
      </x:c>
      <x:c r="AQ16" s="32" t="n">
        <x:f>AR16+IF(AT16&lt;=Overview!$B$37*COUNT($AJ$6:$AJ$22)-SUM($AR$6:$AR$22),1,0)</x:f>
        <x:v>77</x:v>
      </x:c>
      <x:c r="AR16" s="32" t="n">
        <x:f>INT(AK16)</x:f>
        <x:v>76</x:v>
      </x:c>
      <x:c r="AS16" s="34" t="n">
        <x:f>AK16-AR16</x:f>
        <x:v>0.6233018753351018</x:v>
      </x:c>
      <x:c r="AT16" s="32" t="n">
        <x:f>RANK(AS16,$AS$6:$AS$22,0)+COUNTIF($AS$6:AS16,AS16)-1</x:f>
        <x:v>8</x:v>
      </x:c>
    </x:row>
    <x:row r="17" ht="25" customHeight="1">
      <x:c r="A17" s="8" t="str">
        <x:v>Participant_555074_assignsubmission_file</x:v>
      </x:c>
      <x:c r="B17" s="19" t="n">
        <x:v>70</x:v>
      </x:c>
      <x:c r="C17" s="19" t="n">
        <x:v>0</x:v>
      </x:c>
      <x:c r="D17" s="19" t="n">
        <x:v>70</x:v>
      </x:c>
      <x:c r="E17" s="19" t="n">
        <x:v>70</x:v>
      </x:c>
      <x:c r="F17" s="19" t="n">
        <x:v>50</x:v>
      </x:c>
      <x:c r="G17" s="19" t="n">
        <x:v>65</x:v>
      </x:c>
      <x:c r="H17" s="19" t="n">
        <x:v>50</x:v>
      </x:c>
      <x:c r="I17" s="19" t="n">
        <x:v>45</x:v>
      </x:c>
      <x:c r="J17" s="19" t="n">
        <x:v>50</x:v>
      </x:c>
      <x:c r="K17" s="19" t="n">
        <x:v>50</x:v>
      </x:c>
      <x:c r="L17" s="19" t="n">
        <x:v>50</x:v>
      </x:c>
      <x:c r="M17" s="19" t="n">
        <x:v>65</x:v>
      </x:c>
      <x:c r="N17" s="19" t="n">
        <x:v>70</x:v>
      </x:c>
      <x:c r="O17" s="19" t="n">
        <x:v>50</x:v>
      </x:c>
      <x:c r="P17" s="19" t="n">
        <x:v>80</x:v>
      </x:c>
      <x:c r="Q17" s="19" t="n">
        <x:v>50</x:v>
      </x:c>
      <x:c r="R17" s="19" t="n">
        <x:v>70</x:v>
      </x:c>
      <x:c r="S17" s="19" t="n">
        <x:v>70</x:v>
      </x:c>
      <x:c r="T17" s="19" t="n">
        <x:v>55</x:v>
      </x:c>
      <x:c r="U17" s="19" t="n">
        <x:v>75</x:v>
      </x:c>
      <x:c r="V17" s="19" t="n">
        <x:v>70</x:v>
      </x:c>
      <x:c r="W17" s="19" t="n">
        <x:v>70</x:v>
      </x:c>
      <x:c r="X17" s="19" t="n">
        <x:v>75</x:v>
      </x:c>
      <x:c r="Y17" s="19" t="n">
        <x:v>55</x:v>
      </x:c>
      <x:c r="Z17" s="19" t="n">
        <x:v>75</x:v>
      </x:c>
      <x:c r="AA17" s="19" t="n">
        <x:v>70</x:v>
      </x:c>
      <x:c r="AB17" s="19" t="n">
        <x:v>40</x:v>
      </x:c>
      <x:c r="AC17" s="19" t="n">
        <x:v>70</x:v>
      </x:c>
      <x:c r="AD17" s="19" t="n">
        <x:v>55</x:v>
      </x:c>
      <x:c r="AE17" s="26" t="n">
        <x:f>AVERAGE(B17:F17)</x:f>
        <x:v>52</x:v>
      </x:c>
      <x:c r="AF17" s="26" t="n">
        <x:f>AVERAGE(G17:L17)</x:f>
        <x:v>51.666666666666664</x:v>
      </x:c>
      <x:c r="AG17" s="26" t="n">
        <x:f>AVERAGE(M17:Q17)</x:f>
        <x:v>63</x:v>
      </x:c>
      <x:c r="AH17" s="26" t="n">
        <x:f>AVERAGE(R17:X17)</x:f>
        <x:v>69.28571428571429</x:v>
      </x:c>
      <x:c r="AI17" s="26" t="n">
        <x:f>AVERAGE(Y17:AD17)</x:f>
        <x:v>60.833333333333336</x:v>
      </x:c>
      <x:c r="AJ17" s="26" t="n">
        <x:f>SUMPRODUCT(AE17:AI17,Overview!$B$34:$F$34)</x:f>
        <x:v>57.720238095238095</x:v>
      </x:c>
      <x:c r="AK17" s="26" t="n">
        <x:f>IF($AJ$26=0,"Undefined",Overview!$B$37+Overview!$B$38*(AJ17-$AJ$25)/$AJ$26)</x:f>
        <x:v>61.864943520052734</x:v>
      </x:c>
      <x:c r="AL17" s="26" t="n">
        <x:f>IF($AJ$26=0,"Undefined",AK17-AJ17)</x:f>
        <x:v>4.144705424814639</x:v>
      </x:c>
      <x:c r="AM17" s="8" t="str">
        <x:f>IF($AJ$26=0,"Undefined",IF(OR(AK17&lt;0,AK17&gt;100),"Review bounds","Within 0–100"))</x:f>
        <x:v>Within 0–100</x:v>
      </x:c>
      <x:c r="AN17" s="8"/>
      <x:c r="AO17" s="8" t="str">
        <x:v>RDM/RDM_Aug_26_Case_Study/Participant_555074_assignsubmission_file/Assignment Case Study.md</x:v>
      </x:c>
      <x:c r="AP17" s="8" t="str">
        <x:v>224f4343365132310337c919cbc4e32582f70cc9</x:v>
      </x:c>
      <x:c r="AQ17" s="33" t="n">
        <x:f>AR17+IF(AT17&lt;=Overview!$B$37*COUNT($AJ$6:$AJ$22)-SUM($AR$6:$AR$22),1,0)</x:f>
        <x:v>62</x:v>
      </x:c>
      <x:c r="AR17" s="33" t="n">
        <x:f>INT(AK17)</x:f>
        <x:v>61</x:v>
      </x:c>
      <x:c r="AS17" s="35" t="n">
        <x:f>AK17-AR17</x:f>
        <x:v>0.8649435200527336</x:v>
      </x:c>
      <x:c r="AT17" s="33" t="n">
        <x:f>RANK(AS17,$AS$6:$AS$22,0)+COUNTIF($AS$6:AS17,AS17)-1</x:f>
        <x:v>4</x:v>
      </x:c>
    </x:row>
    <x:row r="18" ht="25" customHeight="1">
      <x:c r="A18" s="2" t="str">
        <x:v>Participant_555076_assignsubmission_file</x:v>
      </x:c>
      <x:c r="B18" s="18" t="n">
        <x:v>65</x:v>
      </x:c>
      <x:c r="C18" s="18" t="n">
        <x:v>0</x:v>
      </x:c>
      <x:c r="D18" s="18" t="n">
        <x:v>55</x:v>
      </x:c>
      <x:c r="E18" s="18" t="n">
        <x:v>0</x:v>
      </x:c>
      <x:c r="F18" s="18" t="n">
        <x:v>65</x:v>
      </x:c>
      <x:c r="G18" s="18" t="n">
        <x:v>65</x:v>
      </x:c>
      <x:c r="H18" s="18" t="n">
        <x:v>45</x:v>
      </x:c>
      <x:c r="I18" s="18" t="n">
        <x:v>55</x:v>
      </x:c>
      <x:c r="J18" s="18" t="n">
        <x:v>55</x:v>
      </x:c>
      <x:c r="K18" s="18" t="n">
        <x:v>50</x:v>
      </x:c>
      <x:c r="L18" s="18" t="n">
        <x:v>65</x:v>
      </x:c>
      <x:c r="M18" s="18" t="n">
        <x:v>55</x:v>
      </x:c>
      <x:c r="N18" s="18" t="n">
        <x:v>50</x:v>
      </x:c>
      <x:c r="O18" s="18" t="n">
        <x:v>55</x:v>
      </x:c>
      <x:c r="P18" s="18" t="n">
        <x:v>70</x:v>
      </x:c>
      <x:c r="Q18" s="18" t="n">
        <x:v>55</x:v>
      </x:c>
      <x:c r="R18" s="18" t="n">
        <x:v>70</x:v>
      </x:c>
      <x:c r="S18" s="18" t="n">
        <x:v>65</x:v>
      </x:c>
      <x:c r="T18" s="18" t="n">
        <x:v>65</x:v>
      </x:c>
      <x:c r="U18" s="18" t="n">
        <x:v>70</x:v>
      </x:c>
      <x:c r="V18" s="18" t="n">
        <x:v>70</x:v>
      </x:c>
      <x:c r="W18" s="18" t="n">
        <x:v>40</x:v>
      </x:c>
      <x:c r="X18" s="18" t="n">
        <x:v>25</x:v>
      </x:c>
      <x:c r="Y18" s="18" t="n">
        <x:v>65</x:v>
      </x:c>
      <x:c r="Z18" s="18" t="n">
        <x:v>70</x:v>
      </x:c>
      <x:c r="AA18" s="18" t="n">
        <x:v>65</x:v>
      </x:c>
      <x:c r="AB18" s="18" t="n">
        <x:v>45</x:v>
      </x:c>
      <x:c r="AC18" s="18" t="n">
        <x:v>65</x:v>
      </x:c>
      <x:c r="AD18" s="18" t="n">
        <x:v>50</x:v>
      </x:c>
      <x:c r="AE18" s="25" t="n">
        <x:f>AVERAGE(B18:F18)</x:f>
        <x:v>37</x:v>
      </x:c>
      <x:c r="AF18" s="25" t="n">
        <x:f>AVERAGE(G18:L18)</x:f>
        <x:v>55.833333333333336</x:v>
      </x:c>
      <x:c r="AG18" s="25" t="n">
        <x:f>AVERAGE(M18:Q18)</x:f>
        <x:v>57</x:v>
      </x:c>
      <x:c r="AH18" s="25" t="n">
        <x:f>AVERAGE(R18:X18)</x:f>
        <x:v>57.857142857142854</x:v>
      </x:c>
      <x:c r="AI18" s="25" t="n">
        <x:f>AVERAGE(Y18:AD18)</x:f>
        <x:v>60</x:v>
      </x:c>
      <x:c r="AJ18" s="25" t="n">
        <x:f>SUMPRODUCT(AE18:AI18,Overview!$B$34:$F$34)</x:f>
        <x:v>52.24404761904762</x:v>
      </x:c>
      <x:c r="AK18" s="25" t="n">
        <x:f>IF($AJ$26=0,"Undefined",Overview!$B$37+Overview!$B$38*(AJ18-$AJ$25)/$AJ$26)</x:f>
        <x:v>55.61082574628038</x:v>
      </x:c>
      <x:c r="AL18" s="25" t="n">
        <x:f>IF($AJ$26=0,"Undefined",AK18-AJ18)</x:f>
        <x:v>3.366778127232763</x:v>
      </x:c>
      <x:c r="AM18" s="2" t="str">
        <x:f>IF($AJ$26=0,"Undefined",IF(OR(AK18&lt;0,AK18&gt;100),"Review bounds","Within 0–100"))</x:f>
        <x:v>Within 0–100</x:v>
      </x:c>
      <x:c r="AN18" s="2"/>
      <x:c r="AO18" s="2" t="str">
        <x:v>RDM/RDM_Aug_26_Case_Study/Participant_555076_assignsubmission_file/blog.md</x:v>
      </x:c>
      <x:c r="AP18" s="2" t="str">
        <x:v>37b040a376a923dd4ad28fa07532e223d8f87385</x:v>
      </x:c>
      <x:c r="AQ18" s="32" t="n">
        <x:f>AR18+IF(AT18&lt;=Overview!$B$37*COUNT($AJ$6:$AJ$22)-SUM($AR$6:$AR$22),1,0)</x:f>
        <x:v>56</x:v>
      </x:c>
      <x:c r="AR18" s="32" t="n">
        <x:f>INT(AK18)</x:f>
        <x:v>55</x:v>
      </x:c>
      <x:c r="AS18" s="34" t="n">
        <x:f>AK18-AR18</x:f>
        <x:v>0.6108257462803834</x:v>
      </x:c>
      <x:c r="AT18" s="32" t="n">
        <x:f>RANK(AS18,$AS$6:$AS$22,0)+COUNTIF($AS$6:AS18,AS18)-1</x:f>
        <x:v>9</x:v>
      </x:c>
    </x:row>
    <x:row r="19" ht="25" customHeight="1">
      <x:c r="A19" s="8" t="str">
        <x:v>Participant_555077_assignsubmission_file</x:v>
      </x:c>
      <x:c r="B19" s="19" t="n">
        <x:v>65</x:v>
      </x:c>
      <x:c r="C19" s="19" t="n">
        <x:v>0</x:v>
      </x:c>
      <x:c r="D19" s="19" t="n">
        <x:v>65</x:v>
      </x:c>
      <x:c r="E19" s="19" t="n">
        <x:v>0</x:v>
      </x:c>
      <x:c r="F19" s="19" t="n">
        <x:v>65</x:v>
      </x:c>
      <x:c r="G19" s="19" t="n">
        <x:v>70</x:v>
      </x:c>
      <x:c r="H19" s="19" t="n">
        <x:v>55</x:v>
      </x:c>
      <x:c r="I19" s="19" t="n">
        <x:v>65</x:v>
      </x:c>
      <x:c r="J19" s="19" t="n">
        <x:v>65</x:v>
      </x:c>
      <x:c r="K19" s="19" t="n">
        <x:v>55</x:v>
      </x:c>
      <x:c r="L19" s="19" t="n">
        <x:v>65</x:v>
      </x:c>
      <x:c r="M19" s="19" t="n">
        <x:v>65</x:v>
      </x:c>
      <x:c r="N19" s="19" t="n">
        <x:v>50</x:v>
      </x:c>
      <x:c r="O19" s="19" t="n">
        <x:v>65</x:v>
      </x:c>
      <x:c r="P19" s="19" t="n">
        <x:v>70</x:v>
      </x:c>
      <x:c r="Q19" s="19" t="n">
        <x:v>65</x:v>
      </x:c>
      <x:c r="R19" s="19" t="n">
        <x:v>65</x:v>
      </x:c>
      <x:c r="S19" s="19" t="n">
        <x:v>70</x:v>
      </x:c>
      <x:c r="T19" s="19" t="n">
        <x:v>70</x:v>
      </x:c>
      <x:c r="U19" s="19" t="n">
        <x:v>70</x:v>
      </x:c>
      <x:c r="V19" s="19" t="n">
        <x:v>70</x:v>
      </x:c>
      <x:c r="W19" s="19" t="n">
        <x:v>65</x:v>
      </x:c>
      <x:c r="X19" s="19" t="n">
        <x:v>75</x:v>
      </x:c>
      <x:c r="Y19" s="19" t="n">
        <x:v>50</x:v>
      </x:c>
      <x:c r="Z19" s="19" t="n">
        <x:v>70</x:v>
      </x:c>
      <x:c r="AA19" s="19" t="n">
        <x:v>65</x:v>
      </x:c>
      <x:c r="AB19" s="19" t="n">
        <x:v>70</x:v>
      </x:c>
      <x:c r="AC19" s="19" t="n">
        <x:v>65</x:v>
      </x:c>
      <x:c r="AD19" s="19" t="n">
        <x:v>55</x:v>
      </x:c>
      <x:c r="AE19" s="26" t="n">
        <x:f>AVERAGE(B19:F19)</x:f>
        <x:v>39</x:v>
      </x:c>
      <x:c r="AF19" s="26" t="n">
        <x:f>AVERAGE(G19:L19)</x:f>
        <x:v>62.5</x:v>
      </x:c>
      <x:c r="AG19" s="26" t="n">
        <x:f>AVERAGE(M19:Q19)</x:f>
        <x:v>63</x:v>
      </x:c>
      <x:c r="AH19" s="26" t="n">
        <x:f>AVERAGE(R19:X19)</x:f>
        <x:v>69.28571428571429</x:v>
      </x:c>
      <x:c r="AI19" s="26" t="n">
        <x:f>AVERAGE(Y19:AD19)</x:f>
        <x:v>62.5</x:v>
      </x:c>
      <x:c r="AJ19" s="26" t="n">
        <x:f>SUMPRODUCT(AE19:AI19,Overview!$B$34:$F$34)</x:f>
        <x:v>57.42857142857143</x:v>
      </x:c>
      <x:c r="AK19" s="26" t="n">
        <x:f>IF($AJ$26=0,"Undefined",Overview!$B$37+Overview!$B$38*(AJ19-$AJ$25)/$AJ$26)</x:f>
        <x:v>61.53184376905834</x:v>
      </x:c>
      <x:c r="AL19" s="26" t="n">
        <x:f>IF($AJ$26=0,"Undefined",AK19-AJ19)</x:f>
        <x:v>4.10327234048691</x:v>
      </x:c>
      <x:c r="AM19" s="8" t="str">
        <x:f>IF($AJ$26=0,"Undefined",IF(OR(AK19&lt;0,AK19&gt;100),"Review bounds","Within 0–100"))</x:f>
        <x:v>Within 0–100</x:v>
      </x:c>
      <x:c r="AN19" s="8"/>
      <x:c r="AO19" s="8" t="str">
        <x:v>RDM/RDM_Aug_26_Case_Study/Participant_555077_assignsubmission_file/Huffpost assignment.md</x:v>
      </x:c>
      <x:c r="AP19" s="8" t="str">
        <x:v>9fc7a1490c966cb547f30cd92e5bd5eafebfe014</x:v>
      </x:c>
      <x:c r="AQ19" s="33" t="n">
        <x:f>AR19+IF(AT19&lt;=Overview!$B$37*COUNT($AJ$6:$AJ$22)-SUM($AR$6:$AR$22),1,0)</x:f>
        <x:v>61</x:v>
      </x:c>
      <x:c r="AR19" s="33" t="n">
        <x:f>INT(AK19)</x:f>
        <x:v>61</x:v>
      </x:c>
      <x:c r="AS19" s="35" t="n">
        <x:f>AK19-AR19</x:f>
        <x:v>0.5318437690583409</x:v>
      </x:c>
      <x:c r="AT19" s="33" t="n">
        <x:f>RANK(AS19,$AS$6:$AS$22,0)+COUNTIF($AS$6:AS19,AS19)-1</x:f>
        <x:v>11</x:v>
      </x:c>
    </x:row>
    <x:row r="20" ht="25" customHeight="1">
      <x:c r="A20" s="2" t="str">
        <x:v>Participant_555078_assignsubmission_file</x:v>
      </x:c>
      <x:c r="B20" s="18" t="n">
        <x:v>65</x:v>
      </x:c>
      <x:c r="C20" s="18" t="n">
        <x:v>0</x:v>
      </x:c>
      <x:c r="D20" s="18" t="n">
        <x:v>65</x:v>
      </x:c>
      <x:c r="E20" s="18" t="n">
        <x:v>0</x:v>
      </x:c>
      <x:c r="F20" s="18" t="n">
        <x:v>65</x:v>
      </x:c>
      <x:c r="G20" s="18" t="n">
        <x:v>65</x:v>
      </x:c>
      <x:c r="H20" s="18" t="n">
        <x:v>55</x:v>
      </x:c>
      <x:c r="I20" s="18" t="n">
        <x:v>55</x:v>
      </x:c>
      <x:c r="J20" s="18" t="n">
        <x:v>55</x:v>
      </x:c>
      <x:c r="K20" s="18" t="n">
        <x:v>65</x:v>
      </x:c>
      <x:c r="L20" s="18" t="n">
        <x:v>65</x:v>
      </x:c>
      <x:c r="M20" s="18" t="n">
        <x:v>65</x:v>
      </x:c>
      <x:c r="N20" s="18" t="n">
        <x:v>50</x:v>
      </x:c>
      <x:c r="O20" s="18" t="n">
        <x:v>65</x:v>
      </x:c>
      <x:c r="P20" s="18" t="n">
        <x:v>55</x:v>
      </x:c>
      <x:c r="Q20" s="18" t="n">
        <x:v>65</x:v>
      </x:c>
      <x:c r="R20" s="18" t="n">
        <x:v>55</x:v>
      </x:c>
      <x:c r="S20" s="18" t="n">
        <x:v>65</x:v>
      </x:c>
      <x:c r="T20" s="18" t="n">
        <x:v>65</x:v>
      </x:c>
      <x:c r="U20" s="18" t="n">
        <x:v>65</x:v>
      </x:c>
      <x:c r="V20" s="18" t="n">
        <x:v>50</x:v>
      </x:c>
      <x:c r="W20" s="18" t="n">
        <x:v>50</x:v>
      </x:c>
      <x:c r="X20" s="18" t="n">
        <x:v>55</x:v>
      </x:c>
      <x:c r="Y20" s="18" t="n">
        <x:v>50</x:v>
      </x:c>
      <x:c r="Z20" s="18" t="n">
        <x:v>70</x:v>
      </x:c>
      <x:c r="AA20" s="18" t="n">
        <x:v>65</x:v>
      </x:c>
      <x:c r="AB20" s="18" t="n">
        <x:v>65</x:v>
      </x:c>
      <x:c r="AC20" s="18" t="n">
        <x:v>65</x:v>
      </x:c>
      <x:c r="AD20" s="18" t="n">
        <x:v>55</x:v>
      </x:c>
      <x:c r="AE20" s="25" t="n">
        <x:f>AVERAGE(B20:F20)</x:f>
        <x:v>39</x:v>
      </x:c>
      <x:c r="AF20" s="25" t="n">
        <x:f>AVERAGE(G20:L20)</x:f>
        <x:v>60</x:v>
      </x:c>
      <x:c r="AG20" s="25" t="n">
        <x:f>AVERAGE(M20:Q20)</x:f>
        <x:v>60</x:v>
      </x:c>
      <x:c r="AH20" s="25" t="n">
        <x:f>AVERAGE(R20:X20)</x:f>
        <x:v>57.857142857142854</x:v>
      </x:c>
      <x:c r="AI20" s="25" t="n">
        <x:f>AVERAGE(Y20:AD20)</x:f>
        <x:v>61.666666666666664</x:v>
      </x:c>
      <x:c r="AJ20" s="25" t="n">
        <x:f>SUMPRODUCT(AE20:AI20,Overview!$B$34:$F$34)</x:f>
        <x:v>54.785714285714285</x:v>
      </x:c>
      <x:c r="AK20" s="25" t="n">
        <x:f>IF($AJ$26=0,"Undefined",Overview!$B$37+Overview!$B$38*(AJ20-$AJ$25)/$AJ$26)</x:f>
        <x:v>58.51355214780298</x:v>
      </x:c>
      <x:c r="AL20" s="25" t="n">
        <x:f>IF($AJ$26=0,"Undefined",AK20-AJ20)</x:f>
        <x:v>3.7278378620886983</x:v>
      </x:c>
      <x:c r="AM20" s="2" t="str">
        <x:f>IF($AJ$26=0,"Undefined",IF(OR(AK20&lt;0,AK20&gt;100),"Review bounds","Within 0–100"))</x:f>
        <x:v>Within 0–100</x:v>
      </x:c>
      <x:c r="AN20" s="2"/>
      <x:c r="AO20" s="2" t="str">
        <x:v>RDM/RDM_Aug_26_Case_Study/Participant_555078_assignsubmission_file/Blog Post.md</x:v>
      </x:c>
      <x:c r="AP20" s="2" t="str">
        <x:v>8f73d864af17d2aec636cce960724975747b53e2</x:v>
      </x:c>
      <x:c r="AQ20" s="32" t="n">
        <x:f>AR20+IF(AT20&lt;=Overview!$B$37*COUNT($AJ$6:$AJ$22)-SUM($AR$6:$AR$22),1,0)</x:f>
        <x:v>58</x:v>
      </x:c>
      <x:c r="AR20" s="32" t="n">
        <x:f>INT(AK20)</x:f>
        <x:v>58</x:v>
      </x:c>
      <x:c r="AS20" s="34" t="n">
        <x:f>AK20-AR20</x:f>
        <x:v>0.513552147802983</x:v>
      </x:c>
      <x:c r="AT20" s="32" t="n">
        <x:f>RANK(AS20,$AS$6:$AS$22,0)+COUNTIF($AS$6:AS20,AS20)-1</x:f>
        <x:v>12</x:v>
      </x:c>
    </x:row>
    <x:row r="21" ht="25" customHeight="1">
      <x:c r="A21" s="8" t="str">
        <x:v>Participant_555079_assignsubmission_file</x:v>
      </x:c>
      <x:c r="B21" s="19" t="n">
        <x:v>70</x:v>
      </x:c>
      <x:c r="C21" s="19" t="n">
        <x:v>0</x:v>
      </x:c>
      <x:c r="D21" s="19" t="n">
        <x:v>70</x:v>
      </x:c>
      <x:c r="E21" s="19" t="n">
        <x:v>0</x:v>
      </x:c>
      <x:c r="F21" s="19" t="n">
        <x:v>65</x:v>
      </x:c>
      <x:c r="G21" s="19" t="n">
        <x:v>70</x:v>
      </x:c>
      <x:c r="H21" s="19" t="n">
        <x:v>70</x:v>
      </x:c>
      <x:c r="I21" s="19" t="n">
        <x:v>75</x:v>
      </x:c>
      <x:c r="J21" s="19" t="n">
        <x:v>70</x:v>
      </x:c>
      <x:c r="K21" s="19" t="n">
        <x:v>65</x:v>
      </x:c>
      <x:c r="L21" s="19" t="n">
        <x:v>70</x:v>
      </x:c>
      <x:c r="M21" s="19" t="n">
        <x:v>70</x:v>
      </x:c>
      <x:c r="N21" s="19" t="n">
        <x:v>55</x:v>
      </x:c>
      <x:c r="O21" s="19" t="n">
        <x:v>70</x:v>
      </x:c>
      <x:c r="P21" s="19" t="n">
        <x:v>70</x:v>
      </x:c>
      <x:c r="Q21" s="19" t="n">
        <x:v>70</x:v>
      </x:c>
      <x:c r="R21" s="19" t="n">
        <x:v>65</x:v>
      </x:c>
      <x:c r="S21" s="19" t="n">
        <x:v>70</x:v>
      </x:c>
      <x:c r="T21" s="19" t="n">
        <x:v>70</x:v>
      </x:c>
      <x:c r="U21" s="19" t="n">
        <x:v>70</x:v>
      </x:c>
      <x:c r="V21" s="19" t="n">
        <x:v>70</x:v>
      </x:c>
      <x:c r="W21" s="19" t="n">
        <x:v>50</x:v>
      </x:c>
      <x:c r="X21" s="19" t="n">
        <x:v>35</x:v>
      </x:c>
      <x:c r="Y21" s="19" t="n">
        <x:v>55</x:v>
      </x:c>
      <x:c r="Z21" s="19" t="n">
        <x:v>75</x:v>
      </x:c>
      <x:c r="AA21" s="19" t="n">
        <x:v>70</x:v>
      </x:c>
      <x:c r="AB21" s="19" t="n">
        <x:v>65</x:v>
      </x:c>
      <x:c r="AC21" s="19" t="n">
        <x:v>75</x:v>
      </x:c>
      <x:c r="AD21" s="19" t="n">
        <x:v>75</x:v>
      </x:c>
      <x:c r="AE21" s="26" t="n">
        <x:f>AVERAGE(B21:F21)</x:f>
        <x:v>41</x:v>
      </x:c>
      <x:c r="AF21" s="26" t="n">
        <x:f>AVERAGE(G21:L21)</x:f>
        <x:v>70</x:v>
      </x:c>
      <x:c r="AG21" s="26" t="n">
        <x:f>AVERAGE(M21:Q21)</x:f>
        <x:v>67</x:v>
      </x:c>
      <x:c r="AH21" s="26" t="n">
        <x:f>AVERAGE(R21:X21)</x:f>
        <x:v>61.42857142857143</x:v>
      </x:c>
      <x:c r="AI21" s="26" t="n">
        <x:f>AVERAGE(Y21:AD21)</x:f>
        <x:v>69.16666666666667</x:v>
      </x:c>
      <x:c r="AJ21" s="26" t="n">
        <x:f>SUMPRODUCT(AE21:AI21,Overview!$B$34:$F$34)</x:f>
        <x:v>61.017857142857146</x:v>
      </x:c>
      <x:c r="AK21" s="26" t="n">
        <x:f>IF($AJ$26=0,"Undefined",Overview!$B$37+Overview!$B$38*(AJ21-$AJ$25)/$AJ$26)</x:f>
        <x:v>65.63101009252</x:v>
      </x:c>
      <x:c r="AL21" s="26" t="n">
        <x:f>IF($AJ$26=0,"Undefined",AK21-AJ21)</x:f>
        <x:v>4.6131529496628545</x:v>
      </x:c>
      <x:c r="AM21" s="8" t="str">
        <x:f>IF($AJ$26=0,"Undefined",IF(OR(AK21&lt;0,AK21&gt;100),"Review bounds","Within 0–100"))</x:f>
        <x:v>Within 0–100</x:v>
      </x:c>
      <x:c r="AN21" s="8"/>
      <x:c r="AO21" s="8" t="str">
        <x:v>RDM/RDM_Aug_26_Case_Study/Participant_555079_assignsubmission_file/RDM blog post.md</x:v>
      </x:c>
      <x:c r="AP21" s="8" t="str">
        <x:v>05dcec9b74e99867ad6cf4cd9c14f858fecc8178</x:v>
      </x:c>
      <x:c r="AQ21" s="33" t="n">
        <x:f>AR21+IF(AT21&lt;=Overview!$B$37*COUNT($AJ$6:$AJ$22)-SUM($AR$6:$AR$22),1,0)</x:f>
        <x:v>66</x:v>
      </x:c>
      <x:c r="AR21" s="33" t="n">
        <x:f>INT(AK21)</x:f>
        <x:v>65</x:v>
      </x:c>
      <x:c r="AS21" s="35" t="n">
        <x:f>AK21-AR21</x:f>
        <x:v>0.6310100925200004</x:v>
      </x:c>
      <x:c r="AT21" s="33" t="n">
        <x:f>RANK(AS21,$AS$6:$AS$22,0)+COUNTIF($AS$6:AS21,AS21)-1</x:f>
        <x:v>7</x:v>
      </x:c>
    </x:row>
    <x:row r="22" ht="25" customHeight="1">
      <x:c r="A22" s="2" t="str">
        <x:v>Participant_564388_assignsubmission_file</x:v>
      </x:c>
      <x:c r="B22" s="18" t="n">
        <x:v>50</x:v>
      </x:c>
      <x:c r="C22" s="18" t="n">
        <x:v>65</x:v>
      </x:c>
      <x:c r="D22" s="18" t="n">
        <x:v>55</x:v>
      </x:c>
      <x:c r="E22" s="18" t="n">
        <x:v>0</x:v>
      </x:c>
      <x:c r="F22" s="18" t="n">
        <x:v>65</x:v>
      </x:c>
      <x:c r="G22" s="18" t="n">
        <x:v>65</x:v>
      </x:c>
      <x:c r="H22" s="18" t="n">
        <x:v>50</x:v>
      </x:c>
      <x:c r="I22" s="18" t="n">
        <x:v>50</x:v>
      </x:c>
      <x:c r="J22" s="18" t="n">
        <x:v>50</x:v>
      </x:c>
      <x:c r="K22" s="18" t="n">
        <x:v>50</x:v>
      </x:c>
      <x:c r="L22" s="18" t="n">
        <x:v>50</x:v>
      </x:c>
      <x:c r="M22" s="18" t="n">
        <x:v>50</x:v>
      </x:c>
      <x:c r="N22" s="18" t="n">
        <x:v>45</x:v>
      </x:c>
      <x:c r="O22" s="18" t="n">
        <x:v>65</x:v>
      </x:c>
      <x:c r="P22" s="18" t="n">
        <x:v>65</x:v>
      </x:c>
      <x:c r="Q22" s="18" t="n">
        <x:v>65</x:v>
      </x:c>
      <x:c r="R22" s="18" t="n">
        <x:v>55</x:v>
      </x:c>
      <x:c r="S22" s="18" t="n">
        <x:v>65</x:v>
      </x:c>
      <x:c r="T22" s="18" t="n">
        <x:v>65</x:v>
      </x:c>
      <x:c r="U22" s="18" t="n">
        <x:v>65</x:v>
      </x:c>
      <x:c r="V22" s="18" t="n">
        <x:v>65</x:v>
      </x:c>
      <x:c r="W22" s="18" t="n">
        <x:v>55</x:v>
      </x:c>
      <x:c r="X22" s="18" t="n">
        <x:v>60</x:v>
      </x:c>
      <x:c r="Y22" s="18" t="n">
        <x:v>40</x:v>
      </x:c>
      <x:c r="Z22" s="18" t="n">
        <x:v>70</x:v>
      </x:c>
      <x:c r="AA22" s="18" t="n">
        <x:v>65</x:v>
      </x:c>
      <x:c r="AB22" s="18" t="n">
        <x:v>25</x:v>
      </x:c>
      <x:c r="AC22" s="18" t="n">
        <x:v>65</x:v>
      </x:c>
      <x:c r="AD22" s="18" t="n">
        <x:v>50</x:v>
      </x:c>
      <x:c r="AE22" s="25" t="n">
        <x:f>AVERAGE(B22:F22)</x:f>
        <x:v>47</x:v>
      </x:c>
      <x:c r="AF22" s="25" t="n">
        <x:f>AVERAGE(G22:L22)</x:f>
        <x:v>52.5</x:v>
      </x:c>
      <x:c r="AG22" s="25" t="n">
        <x:f>AVERAGE(M22:Q22)</x:f>
        <x:v>58</x:v>
      </x:c>
      <x:c r="AH22" s="25" t="n">
        <x:f>AVERAGE(R22:X22)</x:f>
        <x:v>61.42857142857143</x:v>
      </x:c>
      <x:c r="AI22" s="25" t="n">
        <x:f>AVERAGE(Y22:AD22)</x:f>
        <x:v>52.5</x:v>
      </x:c>
      <x:c r="AJ22" s="25" t="n">
        <x:f>SUMPRODUCT(AE22:AI22,Overview!$B$34:$F$34)</x:f>
        <x:v>53.392857142857146</x:v>
      </x:c>
      <x:c r="AK22" s="25" t="n">
        <x:f>IF($AJ$26=0,"Undefined",Overview!$B$37+Overview!$B$38*(AJ22-$AJ$25)/$AJ$26)</x:f>
        <x:v>56.92283088795219</x:v>
      </x:c>
      <x:c r="AL22" s="25" t="n">
        <x:f>IF($AJ$26=0,"Undefined",AK22-AJ22)</x:f>
        <x:v>3.5299737450950417</x:v>
      </x:c>
      <x:c r="AM22" s="2" t="str">
        <x:f>IF($AJ$26=0,"Undefined",IF(OR(AK22&lt;0,AK22&gt;100),"Review bounds","Within 0–100"))</x:f>
        <x:v>Within 0–100</x:v>
      </x:c>
      <x:c r="AN22" s="2"/>
      <x:c r="AO22" s="2" t="str">
        <x:v>RDM/RDM_Aug_26_Case_Study/Participant_564388_assignsubmission_file/case study.md</x:v>
      </x:c>
      <x:c r="AP22" s="2" t="str">
        <x:v>699e46315f5534e53299ef301971c364b9e4041b</x:v>
      </x:c>
      <x:c r="AQ22" s="32" t="n">
        <x:f>AR22+IF(AT22&lt;=Overview!$B$37*COUNT($AJ$6:$AJ$22)-SUM($AR$6:$AR$22),1,0)</x:f>
        <x:v>57</x:v>
      </x:c>
      <x:c r="AR22" s="32" t="n">
        <x:f>INT(AK22)</x:f>
        <x:v>56</x:v>
      </x:c>
      <x:c r="AS22" s="34" t="n">
        <x:f>AK22-AR22</x:f>
        <x:v>0.9228308879521876</x:v>
      </x:c>
      <x:c r="AT22" s="32" t="n">
        <x:f>RANK(AS22,$AS$6:$AS$22,0)+COUNTIF($AS$6:AS22,AS22)-1</x:f>
        <x:v>2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9"/>
      <x:c r="AF23" s="9"/>
      <x:c r="AG23" s="9"/>
      <x:c r="AH23" s="9"/>
      <x:c r="AI23" s="9"/>
      <x:c r="AJ23" s="9"/>
      <x:c r="AK23" s="9"/>
      <x:c r="AL23" s="9"/>
      <x:c r="AM23" s="2"/>
      <x:c r="AN23" s="2"/>
      <x:c r="AO23" s="2"/>
      <x:c r="AP23" s="2"/>
      <x:c r="AQ23" s="1"/>
      <x:c r="AR23" s="1"/>
      <x:c r="AS23" s="1"/>
      <x:c r="AT23" s="1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9"/>
      <x:c r="AF24" s="9"/>
      <x:c r="AG24" s="9"/>
      <x:c r="AH24" s="9"/>
      <x:c r="AI24" s="9"/>
      <x:c r="AJ24" s="9"/>
      <x:c r="AK24" s="9"/>
      <x:c r="AL24" s="9"/>
      <x:c r="AM24" s="2"/>
      <x:c r="AN24" s="2"/>
      <x:c r="AO24" s="2"/>
      <x:c r="AP24" s="2"/>
      <x:c r="AQ24" s="1"/>
      <x:c r="AR24" s="1"/>
      <x:c r="AS24" s="1"/>
      <x:c r="AT24" s="1"/>
    </x:row>
    <x:row r="25" ht="25" customHeight="1">
      <x:c r="A25" s="2" t="str">
        <x:v>Cohort mean</x:v>
      </x:c>
      <x:c r="B25" s="9" t="n">
        <x:f>AVERAGE(B6:B22)</x:f>
        <x:v>65</x:v>
      </x:c>
      <x:c r="C25" s="9" t="n">
        <x:f>AVERAGE(C6:C22)</x:f>
        <x:v>41.1764705882353</x:v>
      </x:c>
      <x:c r="D25" s="9" t="n">
        <x:f>AVERAGE(D6:D22)</x:f>
        <x:v>65.29411764705883</x:v>
      </x:c>
      <x:c r="E25" s="9" t="n">
        <x:f>AVERAGE(E6:E22)</x:f>
        <x:v>16.470588235294116</x:v>
      </x:c>
      <x:c r="F25" s="9" t="n">
        <x:f>AVERAGE(F6:F22)</x:f>
        <x:v>64.11764705882354</x:v>
      </x:c>
      <x:c r="G25" s="9" t="n">
        <x:f>AVERAGE(G6:G22)</x:f>
        <x:v>70.58823529411765</x:v>
      </x:c>
      <x:c r="H25" s="9" t="n">
        <x:f>AVERAGE(H6:H22)</x:f>
        <x:v>58.529411764705884</x:v>
      </x:c>
      <x:c r="I25" s="9" t="n">
        <x:f>AVERAGE(I6:I22)</x:f>
        <x:v>62.35294117647059</x:v>
      </x:c>
      <x:c r="J25" s="9" t="n">
        <x:f>AVERAGE(J6:J22)</x:f>
        <x:v>63.529411764705884</x:v>
      </x:c>
      <x:c r="K25" s="9" t="n">
        <x:f>AVERAGE(K6:K22)</x:f>
        <x:v>62.64705882352941</x:v>
      </x:c>
      <x:c r="L25" s="9" t="n">
        <x:f>AVERAGE(L6:L22)</x:f>
        <x:v>64.41176470588235</x:v>
      </x:c>
      <x:c r="M25" s="9" t="n">
        <x:f>AVERAGE(M6:M22)</x:f>
        <x:v>63.8235294117647</x:v>
      </x:c>
      <x:c r="N25" s="9" t="n">
        <x:f>AVERAGE(N6:N22)</x:f>
        <x:v>55.588235294117645</x:v>
      </x:c>
      <x:c r="O25" s="9" t="n">
        <x:f>AVERAGE(O6:O22)</x:f>
        <x:v>65.29411764705883</x:v>
      </x:c>
      <x:c r="P25" s="9" t="n">
        <x:f>AVERAGE(P6:P22)</x:f>
        <x:v>70</x:v>
      </x:c>
      <x:c r="Q25" s="9" t="n">
        <x:f>AVERAGE(Q6:Q22)</x:f>
        <x:v>64.41176470588235</x:v>
      </x:c>
      <x:c r="R25" s="9" t="n">
        <x:f>AVERAGE(R6:R22)</x:f>
        <x:v>66.17647058823529</x:v>
      </x:c>
      <x:c r="S25" s="9" t="n">
        <x:f>AVERAGE(S6:S22)</x:f>
        <x:v>71.17647058823529</x:v>
      </x:c>
      <x:c r="T25" s="9" t="n">
        <x:f>AVERAGE(T6:T22)</x:f>
        <x:v>68.82352941176471</x:v>
      </x:c>
      <x:c r="U25" s="9" t="n">
        <x:f>AVERAGE(U6:U22)</x:f>
        <x:v>70</x:v>
      </x:c>
      <x:c r="V25" s="9" t="n">
        <x:f>AVERAGE(V6:V22)</x:f>
        <x:v>65.88235294117646</x:v>
      </x:c>
      <x:c r="W25" s="9" t="n">
        <x:f>AVERAGE(W6:W22)</x:f>
        <x:v>58.8235294117647</x:v>
      </x:c>
      <x:c r="X25" s="9" t="n">
        <x:f>AVERAGE(X6:X22)</x:f>
        <x:v>65.58823529411765</x:v>
      </x:c>
      <x:c r="Y25" s="9" t="n">
        <x:f>AVERAGE(Y6:Y22)</x:f>
        <x:v>55.88235294117647</x:v>
      </x:c>
      <x:c r="Z25" s="9" t="n">
        <x:f>AVERAGE(Z6:Z22)</x:f>
        <x:v>71.76470588235294</x:v>
      </x:c>
      <x:c r="AA25" s="9" t="n">
        <x:f>AVERAGE(AA6:AA22)</x:f>
        <x:v>66.76470588235294</x:v>
      </x:c>
      <x:c r="AB25" s="9" t="n">
        <x:f>AVERAGE(AB6:AB22)</x:f>
        <x:v>49.411764705882355</x:v>
      </x:c>
      <x:c r="AC25" s="9" t="n">
        <x:f>AVERAGE(AC6:AC22)</x:f>
        <x:v>66.17647058823529</x:v>
      </x:c>
      <x:c r="AD25" s="9" t="n">
        <x:f>AVERAGE(AD6:AD22)</x:f>
        <x:v>62.94117647058823</x:v>
      </x:c>
      <x:c r="AE25" s="9" t="n">
        <x:f>AVERAGE(AE6:AE22)</x:f>
        <x:v>50.411764705882355</x:v>
      </x:c>
      <x:c r="AF25" s="9" t="n">
        <x:f>AVERAGE(AF6:AF22)</x:f>
        <x:v>63.6764705882353</x:v>
      </x:c>
      <x:c r="AG25" s="9" t="n">
        <x:f>AVERAGE(AG6:AG22)</x:f>
        <x:v>63.8235294117647</x:v>
      </x:c>
      <x:c r="AH25" s="9" t="n">
        <x:f>AVERAGE(AH6:AH22)</x:f>
        <x:v>66.63865546218487</x:v>
      </x:c>
      <x:c r="AI25" s="9" t="n">
        <x:f>AVERAGE(AI6:AI22)</x:f>
        <x:v>62.15686274509803</x:v>
      </x:c>
      <x:c r="AJ25" s="9" t="n">
        <x:f>AVERAGE(AJ6:AJ22)</x:f>
        <x:v>60.46533613445378</x:v>
      </x:c>
      <x:c r="AK25" s="9" t="n">
        <x:f>AVERAGE(AK6:AK22)</x:f>
        <x:v>65.00000000000001</x:v>
      </x:c>
      <x:c r="AL25" s="9" t="n">
        <x:f>AVERAGE(AL6:AL22)</x:f>
        <x:v>4.534663865546222</x:v>
      </x:c>
      <x:c r="AM25" s="2"/>
      <x:c r="AN25" s="2"/>
      <x:c r="AO25" s="2"/>
      <x:c r="AP25" s="2"/>
      <x:c r="AQ25" s="36" t="n">
        <x:f>AVERAGE(AQ6:AQ22)</x:f>
        <x:v>65</x:v>
      </x:c>
      <x:c r="AR25" s="1"/>
      <x:c r="AS25" s="1"/>
      <x:c r="AT25" s="1"/>
    </x:row>
    <x:row r="26" ht="25" customHeight="1">
      <x:c r="A26" s="2" t="str">
        <x:v>Population SD</x:v>
      </x:c>
      <x:c r="B26" s="9" t="n">
        <x:f>STDEV.P(B6:B22)</x:f>
        <x:v>10.145993123917847</x:v>
      </x:c>
      <x:c r="C26" s="9" t="n">
        <x:f>STDEV.P(C6:C22)</x:f>
        <x:v>35.210685701122785</x:v>
      </x:c>
      <x:c r="D26" s="9" t="n">
        <x:f>STDEV.P(D6:D22)</x:f>
        <x:v>9.620839549291839</x:v>
      </x:c>
      <x:c r="E26" s="9" t="n">
        <x:f>STDEV.P(E6:E22)</x:f>
        <x:v>24.48076711374684</x:v>
      </x:c>
      <x:c r="F26" s="9" t="n">
        <x:f>STDEV.P(F6:F22)</x:f>
        <x:v>8.266746660326586</x:v>
      </x:c>
      <x:c r="G26" s="9" t="n">
        <x:f>STDEV.P(G6:G22)</x:f>
        <x:v>6.155426334251867</x:v>
      </x:c>
      <x:c r="H26" s="9" t="n">
        <x:f>STDEV.P(H6:H22)</x:f>
        <x:v>12.098214000707726</x:v>
      </x:c>
      <x:c r="I26" s="9" t="n">
        <x:f>STDEV.P(I6:I22)</x:f>
        <x:v>15.914999127610216</x:v>
      </x:c>
      <x:c r="J26" s="9" t="n">
        <x:f>STDEV.P(J6:J22)</x:f>
        <x:v>12.691440594347892</x:v>
      </x:c>
      <x:c r="K26" s="9" t="n">
        <x:f>STDEV.P(K6:K22)</x:f>
        <x:v>11.519503545627142</x:v>
      </x:c>
      <x:c r="L26" s="9" t="n">
        <x:f>STDEV.P(L6:L22)</x:f>
        <x:v>11.616716269489116</x:v>
      </x:c>
      <x:c r="M26" s="9" t="n">
        <x:f>STDEV.P(M6:M22)</x:f>
        <x:v>11.051937781209373</x:v>
      </x:c>
      <x:c r="N26" s="9" t="n">
        <x:f>STDEV.P(N6:N22)</x:f>
        <x:v>8.724939396583133</x:v>
      </x:c>
      <x:c r="O26" s="9" t="n">
        <x:f>STDEV.P(O6:O22)</x:f>
        <x:v>11.30728399220064</x:v>
      </x:c>
      <x:c r="P26" s="9" t="n">
        <x:f>STDEV.P(P6:P22)</x:f>
        <x:v>7.276068751089989</x:v>
      </x:c>
      <x:c r="Q26" s="9" t="n">
        <x:f>STDEV.P(Q6:Q22)</x:f>
        <x:v>10.555504967603742</x:v>
      </x:c>
      <x:c r="R26" s="9" t="n">
        <x:f>STDEV.P(R6:R22)</x:f>
        <x:v>6.972511524193941</x:v>
      </x:c>
      <x:c r="S26" s="9" t="n">
        <x:f>STDEV.P(S6:S22)</x:f>
        <x:v>5.294117647058823</x:v>
      </x:c>
      <x:c r="T26" s="9" t="n">
        <x:f>STDEV.P(T6:T22)</x:f>
        <x:v>6.070519835455969</x:v>
      </x:c>
      <x:c r="U26" s="9" t="n">
        <x:f>STDEV.P(U6:U22)</x:f>
        <x:v>7.276068751089989</x:v>
      </x:c>
      <x:c r="V26" s="9" t="n">
        <x:f>STDEV.P(V6:V22)</x:f>
        <x:v>9.430129142283178</x:v>
      </x:c>
      <x:c r="W26" s="9" t="n">
        <x:f>STDEV.P(W6:W22)</x:f>
        <x:v>11.823383083671636</x:v>
      </x:c>
      <x:c r="X26" s="9" t="n">
        <x:f>STDEV.P(X6:X22)</x:f>
        <x:v>15.231773383793001</x:v>
      </x:c>
      <x:c r="Y26" s="9" t="n">
        <x:f>STDEV.P(Y6:Y22)</x:f>
        <x:v>11.534512677133868</x:v>
      </x:c>
      <x:c r="Z26" s="9" t="n">
        <x:f>STDEV.P(Z6:Z22)</x:f>
        <x:v>6.629075099755673</x:v>
      </x:c>
      <x:c r="AA26" s="9" t="n">
        <x:f>STDEV.P(AA6:AA22)</x:f>
        <x:v>9.991345736154724</x:v>
      </x:c>
      <x:c r="AB26" s="9" t="n">
        <x:f>STDEV.P(AB6:AB22)</x:f>
        <x:v>17.89531264138383</x:v>
      </x:c>
      <x:c r="AC26" s="9" t="n">
        <x:f>STDEV.P(AC6:AC22)</x:f>
        <x:v>17.61762250808463</x:v>
      </x:c>
      <x:c r="AD26" s="9" t="n">
        <x:f>STDEV.P(AD6:AD22)</x:f>
        <x:v>13.510216562183356</x:v>
      </x:c>
      <x:c r="AE26" s="9" t="n">
        <x:f>STDEV.P(AE6:AE22)</x:f>
        <x:v>11.35553155452501</x:v>
      </x:c>
      <x:c r="AF26" s="9" t="n">
        <x:f>STDEV.P(AF6:AF22)</x:f>
        <x:v>11.05563331818347</x:v>
      </x:c>
      <x:c r="AG26" s="9" t="n">
        <x:f>STDEV.P(AG6:AG22)</x:f>
        <x:v>8.016419136905624</x:v>
      </x:c>
      <x:c r="AH26" s="9" t="n">
        <x:f>STDEV.P(AH6:AH22)</x:f>
        <x:v>6.5820370431649975</x:v>
      </x:c>
      <x:c r="AI26" s="9" t="n">
        <x:f>STDEV.P(AI6:AI22)</x:f>
        <x:v>10.270280524555137</x:v>
      </x:c>
      <x:c r="AJ26" s="9" t="n">
        <x:f>STDEV.P(AJ6:AJ22)</x:f>
        <x:v>8.75613583606589</x:v>
      </x:c>
      <x:c r="AK26" s="9" t="n">
        <x:f>STDEV.P(AK6:AK22)</x:f>
        <x:v>10.000000000000002</x:v>
      </x:c>
      <x:c r="AL26" s="9" t="n">
        <x:f>STDEV.P(AL6:AL22)</x:f>
        <x:v>1.2438641639341088</x:v>
      </x:c>
      <x:c r="AM26" s="2"/>
      <x:c r="AN26" s="2"/>
      <x:c r="AO26" s="2"/>
      <x:c r="AP26" s="2"/>
      <x:c r="AQ26" s="36" t="n">
        <x:f>STDEV.P(AQ6:AQ22)</x:f>
        <x:v>9.952829925674997</x:v>
      </x:c>
      <x:c r="AR26" s="1"/>
      <x:c r="AS26" s="1"/>
      <x:c r="AT26" s="1"/>
    </x:row>
    <x:row r="27" ht="25" customHeight="1">
      <x:c r="A27" s="2" t="str">
        <x:v>Minimum</x:v>
      </x:c>
      <x:c r="B27" s="9" t="n">
        <x:f>MIN(B6:B22)</x:f>
        <x:v>50</x:v>
      </x:c>
      <x:c r="C27" s="9" t="n">
        <x:f>MIN(C6:C22)</x:f>
        <x:v>0</x:v>
      </x:c>
      <x:c r="D27" s="9" t="n">
        <x:f>MIN(D6:D22)</x:f>
        <x:v>50</x:v>
      </x:c>
      <x:c r="E27" s="9" t="n">
        <x:f>MIN(E6:E22)</x:f>
        <x:v>0</x:v>
      </x:c>
      <x:c r="F27" s="9" t="n">
        <x:f>MIN(F6:F22)</x:f>
        <x:v>45</x:v>
      </x:c>
      <x:c r="G27" s="9" t="n">
        <x:f>MIN(G6:G22)</x:f>
        <x:v>60</x:v>
      </x:c>
      <x:c r="H27" s="9" t="n">
        <x:f>MIN(H6:H22)</x:f>
        <x:v>40</x:v>
      </x:c>
      <x:c r="I27" s="9" t="n">
        <x:f>MIN(I6:I22)</x:f>
        <x:v>25</x:v>
      </x:c>
      <x:c r="J27" s="9" t="n">
        <x:f>MIN(J6:J22)</x:f>
        <x:v>45</x:v>
      </x:c>
      <x:c r="K27" s="9" t="n">
        <x:f>MIN(K6:K22)</x:f>
        <x:v>45</x:v>
      </x:c>
      <x:c r="L27" s="9" t="n">
        <x:f>MIN(L6:L22)</x:f>
        <x:v>45</x:v>
      </x:c>
      <x:c r="M27" s="9" t="n">
        <x:f>MIN(M6:M22)</x:f>
        <x:v>45</x:v>
      </x:c>
      <x:c r="N27" s="9" t="n">
        <x:f>MIN(N6:N22)</x:f>
        <x:v>45</x:v>
      </x:c>
      <x:c r="O27" s="9" t="n">
        <x:f>MIN(O6:O22)</x:f>
        <x:v>45</x:v>
      </x:c>
      <x:c r="P27" s="9" t="n">
        <x:f>MIN(P6:P22)</x:f>
        <x:v>55</x:v>
      </x:c>
      <x:c r="Q27" s="9" t="n">
        <x:f>MIN(Q6:Q22)</x:f>
        <x:v>45</x:v>
      </x:c>
      <x:c r="R27" s="9" t="n">
        <x:f>MIN(R6:R22)</x:f>
        <x:v>50</x:v>
      </x:c>
      <x:c r="S27" s="9" t="n">
        <x:f>MIN(S6:S22)</x:f>
        <x:v>65</x:v>
      </x:c>
      <x:c r="T27" s="9" t="n">
        <x:f>MIN(T6:T22)</x:f>
        <x:v>55</x:v>
      </x:c>
      <x:c r="U27" s="9" t="n">
        <x:f>MIN(U6:U22)</x:f>
        <x:v>50</x:v>
      </x:c>
      <x:c r="V27" s="9" t="n">
        <x:f>MIN(V6:V22)</x:f>
        <x:v>45</x:v>
      </x:c>
      <x:c r="W27" s="9" t="n">
        <x:f>MIN(W6:W22)</x:f>
        <x:v>40</x:v>
      </x:c>
      <x:c r="X27" s="9" t="n">
        <x:f>MIN(X6:X22)</x:f>
        <x:v>25</x:v>
      </x:c>
      <x:c r="Y27" s="9" t="n">
        <x:f>MIN(Y6:Y22)</x:f>
        <x:v>30</x:v>
      </x:c>
      <x:c r="Z27" s="9" t="n">
        <x:f>MIN(Z6:Z22)</x:f>
        <x:v>50</x:v>
      </x:c>
      <x:c r="AA27" s="9" t="n">
        <x:f>MIN(AA6:AA22)</x:f>
        <x:v>35</x:v>
      </x:c>
      <x:c r="AB27" s="9" t="n">
        <x:f>MIN(AB6:AB22)</x:f>
        <x:v>25</x:v>
      </x:c>
      <x:c r="AC27" s="9" t="n">
        <x:f>MIN(AC6:AC22)</x:f>
        <x:v>0</x:v>
      </x:c>
      <x:c r="AD27" s="9" t="n">
        <x:f>MIN(AD6:AD22)</x:f>
        <x:v>40</x:v>
      </x:c>
      <x:c r="AE27" s="9" t="n">
        <x:f>MIN(AE6:AE22)</x:f>
        <x:v>34</x:v>
      </x:c>
      <x:c r="AF27" s="9" t="n">
        <x:f>MIN(AF6:AF22)</x:f>
        <x:v>45</x:v>
      </x:c>
      <x:c r="AG27" s="9" t="n">
        <x:f>MIN(AG6:AG22)</x:f>
        <x:v>49</x:v>
      </x:c>
      <x:c r="AH27" s="9" t="n">
        <x:f>MIN(AH6:AH22)</x:f>
        <x:v>57.857142857142854</x:v>
      </x:c>
      <x:c r="AI27" s="9" t="n">
        <x:f>MIN(AI6:AI22)</x:f>
        <x:v>30</x:v>
      </x:c>
      <x:c r="AJ27" s="9" t="n">
        <x:f>MIN(AJ6:AJ22)</x:f>
        <x:v>46.654761904761905</x:v>
      </x:c>
      <x:c r="AK27" s="9" t="n">
        <x:f>MIN(AK6:AK22)</x:f>
        <x:v>49.22754684457142</x:v>
      </x:c>
      <x:c r="AL27" s="9" t="n">
        <x:f>MIN(AL6:AL22)</x:f>
        <x:v>2.572784939809516</x:v>
      </x:c>
      <x:c r="AM27" s="2"/>
      <x:c r="AN27" s="2"/>
      <x:c r="AO27" s="2"/>
      <x:c r="AP27" s="2"/>
      <x:c r="AQ27" s="36" t="n">
        <x:f>MIN(AQ6:AQ22)</x:f>
        <x:v>49</x:v>
      </x:c>
      <x:c r="AR27" s="1"/>
      <x:c r="AS27" s="1"/>
      <x:c r="AT27" s="1"/>
    </x:row>
    <x:row r="28" ht="25" customHeight="1">
      <x:c r="A28" s="2" t="str">
        <x:v>Maximum</x:v>
      </x:c>
      <x:c r="B28" s="9" t="n">
        <x:f>MAX(B6:B22)</x:f>
        <x:v>80</x:v>
      </x:c>
      <x:c r="C28" s="9" t="n">
        <x:f>MAX(C6:C22)</x:f>
        <x:v>80</x:v>
      </x:c>
      <x:c r="D28" s="9" t="n">
        <x:f>MAX(D6:D22)</x:f>
        <x:v>80</x:v>
      </x:c>
      <x:c r="E28" s="9" t="n">
        <x:f>MAX(E6:E22)</x:f>
        <x:v>70</x:v>
      </x:c>
      <x:c r="F28" s="9" t="n">
        <x:f>MAX(F6:F22)</x:f>
        <x:v>75</x:v>
      </x:c>
      <x:c r="G28" s="9" t="n">
        <x:f>MAX(G6:G22)</x:f>
        <x:v>80</x:v>
      </x:c>
      <x:c r="H28" s="9" t="n">
        <x:f>MAX(H6:H22)</x:f>
        <x:v>85</x:v>
      </x:c>
      <x:c r="I28" s="9" t="n">
        <x:f>MAX(I6:I22)</x:f>
        <x:v>85</x:v>
      </x:c>
      <x:c r="J28" s="9" t="n">
        <x:f>MAX(J6:J22)</x:f>
        <x:v>85</x:v>
      </x:c>
      <x:c r="K28" s="9" t="n">
        <x:f>MAX(K6:K22)</x:f>
        <x:v>80</x:v>
      </x:c>
      <x:c r="L28" s="9" t="n">
        <x:f>MAX(L6:L22)</x:f>
        <x:v>80</x:v>
      </x:c>
      <x:c r="M28" s="9" t="n">
        <x:f>MAX(M6:M22)</x:f>
        <x:v>80</x:v>
      </x:c>
      <x:c r="N28" s="9" t="n">
        <x:f>MAX(N6:N22)</x:f>
        <x:v>75</x:v>
      </x:c>
      <x:c r="O28" s="9" t="n">
        <x:f>MAX(O6:O22)</x:f>
        <x:v>80</x:v>
      </x:c>
      <x:c r="P28" s="9" t="n">
        <x:f>MAX(P6:P22)</x:f>
        <x:v>80</x:v>
      </x:c>
      <x:c r="Q28" s="9" t="n">
        <x:f>MAX(Q6:Q22)</x:f>
        <x:v>80</x:v>
      </x:c>
      <x:c r="R28" s="9" t="n">
        <x:f>MAX(R6:R22)</x:f>
        <x:v>75</x:v>
      </x:c>
      <x:c r="S28" s="9" t="n">
        <x:f>MAX(S6:S22)</x:f>
        <x:v>80</x:v>
      </x:c>
      <x:c r="T28" s="9" t="n">
        <x:f>MAX(T6:T22)</x:f>
        <x:v>80</x:v>
      </x:c>
      <x:c r="U28" s="9" t="n">
        <x:f>MAX(U6:U22)</x:f>
        <x:v>80</x:v>
      </x:c>
      <x:c r="V28" s="9" t="n">
        <x:f>MAX(V6:V22)</x:f>
        <x:v>75</x:v>
      </x:c>
      <x:c r="W28" s="9" t="n">
        <x:f>MAX(W6:W22)</x:f>
        <x:v>75</x:v>
      </x:c>
      <x:c r="X28" s="9" t="n">
        <x:f>MAX(X6:X22)</x:f>
        <x:v>75</x:v>
      </x:c>
      <x:c r="Y28" s="9" t="n">
        <x:f>MAX(Y6:Y22)</x:f>
        <x:v>75</x:v>
      </x:c>
      <x:c r="Z28" s="9" t="n">
        <x:f>MAX(Z6:Z22)</x:f>
        <x:v>80</x:v>
      </x:c>
      <x:c r="AA28" s="9" t="n">
        <x:f>MAX(AA6:AA22)</x:f>
        <x:v>75</x:v>
      </x:c>
      <x:c r="AB28" s="9" t="n">
        <x:f>MAX(AB6:AB22)</x:f>
        <x:v>80</x:v>
      </x:c>
      <x:c r="AC28" s="9" t="n">
        <x:f>MAX(AC6:AC22)</x:f>
        <x:v>85</x:v>
      </x:c>
      <x:c r="AD28" s="9" t="n">
        <x:f>MAX(AD6:AD22)</x:f>
        <x:v>85</x:v>
      </x:c>
      <x:c r="AE28" s="9" t="n">
        <x:f>MAX(AE6:AE22)</x:f>
        <x:v>72</x:v>
      </x:c>
      <x:c r="AF28" s="9" t="n">
        <x:f>MAX(AF6:AF22)</x:f>
        <x:v>82.5</x:v>
      </x:c>
      <x:c r="AG28" s="9" t="n">
        <x:f>MAX(AG6:AG22)</x:f>
        <x:v>74</x:v>
      </x:c>
      <x:c r="AH28" s="9" t="n">
        <x:f>MAX(AH6:AH22)</x:f>
        <x:v>76.42857142857143</x:v>
      </x:c>
      <x:c r="AI28" s="9" t="n">
        <x:f>MAX(AI6:AI22)</x:f>
        <x:v>73.33333333333333</x:v>
      </x:c>
      <x:c r="AJ28" s="9" t="n">
        <x:f>MAX(AJ6:AJ22)</x:f>
        <x:v>75.51785714285714</x:v>
      </x:c>
      <x:c r="AK28" s="9" t="n">
        <x:f>MAX(AK6:AK22)</x:f>
        <x:v>82.19082628481289</x:v>
      </x:c>
      <x:c r="AL28" s="9" t="n">
        <x:f>MAX(AL6:AL22)</x:f>
        <x:v>6.672969141955747</x:v>
      </x:c>
      <x:c r="AM28" s="2"/>
      <x:c r="AN28" s="2"/>
      <x:c r="AO28" s="2"/>
      <x:c r="AP28" s="2"/>
      <x:c r="AQ28" s="36" t="n">
        <x:f>MAX(AQ6:AQ22)</x:f>
        <x:v>82</x:v>
      </x:c>
      <x:c r="AR28" s="1"/>
      <x:c r="AS28" s="1"/>
      <x:c r="AT28" s="1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</x:row>
  </x:sheetData>
  <x:dataValidations count="1">
    <x:dataValidation type="list" sqref="B6:AD22">
      <x:formula1>"0,5,10,15,20,25,30,35,40,45,50,55,60,65,70,75,80,85,90,95,100"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4B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Percentage mark distributions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Population SD uses denominator N. Subcriterion means and spreads are retained; no normality constraint is imposed.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7" t="str">
        <x:v>Code</x:v>
      </x:c>
      <x:c r="B5" s="7" t="str">
        <x:v>Competence</x:v>
      </x:c>
      <x:c r="C5" s="7" t="str">
        <x:v>N</x:v>
      </x:c>
      <x:c r="D5" s="7" t="str">
        <x:v>Mean</x:v>
      </x:c>
      <x:c r="E5" s="7" t="str">
        <x:v>Population SD</x:v>
      </x:c>
      <x:c r="F5" s="7" t="str">
        <x:v>Minimum</x:v>
      </x:c>
      <x:c r="G5" s="7" t="str">
        <x:v>Maximum</x:v>
      </x:c>
      <x:c r="H5" s="7" t="str">
        <x:v>Overall weight</x:v>
      </x:c>
    </x:row>
    <x:row r="6" ht="25" customHeight="1">
      <x:c r="A6" s="2" t="str">
        <x:v>C1A</x:v>
      </x:c>
      <x:c r="B6" s="2" t="str">
        <x:v>Critical-thinking and argumentation methods</x:v>
      </x:c>
      <x:c r="C6" s="2" t="n">
        <x:f>COUNT('Subcriterion marks'!B6:B22)</x:f>
        <x:v>17</x:v>
      </x:c>
      <x:c r="D6" s="9" t="n">
        <x:f>AVERAGE('Subcriterion marks'!B6:B22)</x:f>
        <x:v>65</x:v>
      </x:c>
      <x:c r="E6" s="9" t="n">
        <x:f>STDEV.P('Subcriterion marks'!B6:B22)</x:f>
        <x:v>10.145993123917847</x:v>
      </x:c>
      <x:c r="F6" s="9" t="n">
        <x:f>MIN('Subcriterion marks'!B6:B22)</x:f>
        <x:v>50</x:v>
      </x:c>
      <x:c r="G6" s="9" t="n">
        <x:f>MAX('Subcriterion marks'!B6:B22)</x:f>
        <x:v>80</x:v>
      </x:c>
      <x:c r="H6" s="20" t="n">
        <x:f>Overview!B34/Overview!B33</x:f>
        <x:v>0.05</x:v>
      </x:c>
    </x:row>
    <x:row r="7" ht="25" customHeight="1">
      <x:c r="A7" s="8" t="str">
        <x:v>C1B</x:v>
      </x:c>
      <x:c r="B7" s="8" t="str">
        <x:v>Core module reading</x:v>
      </x:c>
      <x:c r="C7" s="8" t="n">
        <x:f>COUNT('Subcriterion marks'!C6:C22)</x:f>
        <x:v>17</x:v>
      </x:c>
      <x:c r="D7" s="10" t="n">
        <x:f>AVERAGE('Subcriterion marks'!C6:C22)</x:f>
        <x:v>41.1764705882353</x:v>
      </x:c>
      <x:c r="E7" s="10" t="n">
        <x:f>STDEV.P('Subcriterion marks'!C6:C22)</x:f>
        <x:v>35.210685701122785</x:v>
      </x:c>
      <x:c r="F7" s="10" t="n">
        <x:f>MIN('Subcriterion marks'!C6:C22)</x:f>
        <x:v>0</x:v>
      </x:c>
      <x:c r="G7" s="10" t="n">
        <x:f>MAX('Subcriterion marks'!C6:C22)</x:f>
        <x:v>80</x:v>
      </x:c>
      <x:c r="H7" s="21" t="n">
        <x:f>Overview!B34/Overview!B33</x:f>
        <x:v>0.05</x:v>
      </x:c>
    </x:row>
    <x:row r="8" ht="25" customHeight="1">
      <x:c r="A8" s="2" t="str">
        <x:v>C1C</x:v>
      </x:c>
      <x:c r="B8" s="2" t="str">
        <x:v>Anatomy of the argument</x:v>
      </x:c>
      <x:c r="C8" s="2" t="n">
        <x:f>COUNT('Subcriterion marks'!D6:D22)</x:f>
        <x:v>17</x:v>
      </x:c>
      <x:c r="D8" s="9" t="n">
        <x:f>AVERAGE('Subcriterion marks'!D6:D22)</x:f>
        <x:v>65.29411764705883</x:v>
      </x:c>
      <x:c r="E8" s="9" t="n">
        <x:f>STDEV.P('Subcriterion marks'!D6:D22)</x:f>
        <x:v>9.620839549291839</x:v>
      </x:c>
      <x:c r="F8" s="9" t="n">
        <x:f>MIN('Subcriterion marks'!D6:D22)</x:f>
        <x:v>50</x:v>
      </x:c>
      <x:c r="G8" s="9" t="n">
        <x:f>MAX('Subcriterion marks'!D6:D22)</x:f>
        <x:v>80</x:v>
      </x:c>
      <x:c r="H8" s="20" t="n">
        <x:f>Overview!B34/Overview!B33</x:f>
        <x:v>0.05</x:v>
      </x:c>
    </x:row>
    <x:row r="9" ht="25" customHeight="1">
      <x:c r="A9" s="8" t="str">
        <x:v>C1D</x:v>
      </x:c>
      <x:c r="B9" s="8" t="str">
        <x:v>Reasoning and inference</x:v>
      </x:c>
      <x:c r="C9" s="8" t="n">
        <x:f>COUNT('Subcriterion marks'!E6:E22)</x:f>
        <x:v>17</x:v>
      </x:c>
      <x:c r="D9" s="10" t="n">
        <x:f>AVERAGE('Subcriterion marks'!E6:E22)</x:f>
        <x:v>16.470588235294116</x:v>
      </x:c>
      <x:c r="E9" s="10" t="n">
        <x:f>STDEV.P('Subcriterion marks'!E6:E22)</x:f>
        <x:v>24.48076711374684</x:v>
      </x:c>
      <x:c r="F9" s="10" t="n">
        <x:f>MIN('Subcriterion marks'!E6:E22)</x:f>
        <x:v>0</x:v>
      </x:c>
      <x:c r="G9" s="10" t="n">
        <x:f>MAX('Subcriterion marks'!E6:E22)</x:f>
        <x:v>70</x:v>
      </x:c>
      <x:c r="H9" s="21" t="n">
        <x:f>Overview!B34/Overview!B33</x:f>
        <x:v>0.05</x:v>
      </x:c>
    </x:row>
    <x:row r="10" ht="25" customHeight="1">
      <x:c r="A10" s="2" t="str">
        <x:v>C1E</x:v>
      </x:c>
      <x:c r="B10" s="2" t="str">
        <x:v>Definitions and conceptual accuracy</x:v>
      </x:c>
      <x:c r="C10" s="2" t="n">
        <x:f>COUNT('Subcriterion marks'!F6:F22)</x:f>
        <x:v>17</x:v>
      </x:c>
      <x:c r="D10" s="9" t="n">
        <x:f>AVERAGE('Subcriterion marks'!F6:F22)</x:f>
        <x:v>64.11764705882354</x:v>
      </x:c>
      <x:c r="E10" s="9" t="n">
        <x:f>STDEV.P('Subcriterion marks'!F6:F22)</x:f>
        <x:v>8.266746660326586</x:v>
      </x:c>
      <x:c r="F10" s="9" t="n">
        <x:f>MIN('Subcriterion marks'!F6:F22)</x:f>
        <x:v>45</x:v>
      </x:c>
      <x:c r="G10" s="9" t="n">
        <x:f>MAX('Subcriterion marks'!F6:F22)</x:f>
        <x:v>75</x:v>
      </x:c>
      <x:c r="H10" s="20" t="n">
        <x:f>Overview!B34/Overview!B33</x:f>
        <x:v>0.05</x:v>
      </x:c>
    </x:row>
    <x:row r="11" ht="25" customHeight="1">
      <x:c r="A11" s="8" t="str">
        <x:v>C2A</x:v>
      </x:c>
      <x:c r="B11" s="8" t="str">
        <x:v>Coherent argument architecture</x:v>
      </x:c>
      <x:c r="C11" s="8" t="n">
        <x:f>COUNT('Subcriterion marks'!G6:G22)</x:f>
        <x:v>17</x:v>
      </x:c>
      <x:c r="D11" s="10" t="n">
        <x:f>AVERAGE('Subcriterion marks'!G6:G22)</x:f>
        <x:v>70.58823529411765</x:v>
      </x:c>
      <x:c r="E11" s="10" t="n">
        <x:f>STDEV.P('Subcriterion marks'!G6:G22)</x:f>
        <x:v>6.155426334251867</x:v>
      </x:c>
      <x:c r="F11" s="10" t="n">
        <x:f>MIN('Subcriterion marks'!G6:G22)</x:f>
        <x:v>60</x:v>
      </x:c>
      <x:c r="G11" s="10" t="n">
        <x:f>MAX('Subcriterion marks'!G6:G22)</x:f>
        <x:v>80</x:v>
      </x:c>
      <x:c r="H11" s="21" t="n">
        <x:f>Overview!C34/Overview!C33</x:f>
        <x:v>0.041666666666666664</x:v>
      </x:c>
    </x:row>
    <x:row r="12" ht="25" customHeight="1">
      <x:c r="A12" s="2" t="str">
        <x:v>C2B</x:v>
      </x:c>
      <x:c r="B12" s="2" t="str">
        <x:v>Quality and relevance of evidence</x:v>
      </x:c>
      <x:c r="C12" s="2" t="n">
        <x:f>COUNT('Subcriterion marks'!H6:H22)</x:f>
        <x:v>17</x:v>
      </x:c>
      <x:c r="D12" s="9" t="n">
        <x:f>AVERAGE('Subcriterion marks'!H6:H22)</x:f>
        <x:v>58.529411764705884</x:v>
      </x:c>
      <x:c r="E12" s="9" t="n">
        <x:f>STDEV.P('Subcriterion marks'!H6:H22)</x:f>
        <x:v>12.098214000707726</x:v>
      </x:c>
      <x:c r="F12" s="9" t="n">
        <x:f>MIN('Subcriterion marks'!H6:H22)</x:f>
        <x:v>40</x:v>
      </x:c>
      <x:c r="G12" s="9" t="n">
        <x:f>MAX('Subcriterion marks'!H6:H22)</x:f>
        <x:v>85</x:v>
      </x:c>
      <x:c r="H12" s="20" t="n">
        <x:f>Overview!C34/Overview!C33</x:f>
        <x:v>0.041666666666666664</x:v>
      </x:c>
    </x:row>
    <x:row r="13" ht="25" customHeight="1">
      <x:c r="A13" s="8" t="str">
        <x:v>C2C</x:v>
      </x:c>
      <x:c r="B13" s="8" t="str">
        <x:v>Evaluation of inferential strength</x:v>
      </x:c>
      <x:c r="C13" s="8" t="n">
        <x:f>COUNT('Subcriterion marks'!I6:I22)</x:f>
        <x:v>17</x:v>
      </x:c>
      <x:c r="D13" s="10" t="n">
        <x:f>AVERAGE('Subcriterion marks'!I6:I22)</x:f>
        <x:v>62.35294117647059</x:v>
      </x:c>
      <x:c r="E13" s="10" t="n">
        <x:f>STDEV.P('Subcriterion marks'!I6:I22)</x:f>
        <x:v>15.914999127610216</x:v>
      </x:c>
      <x:c r="F13" s="10" t="n">
        <x:f>MIN('Subcriterion marks'!I6:I22)</x:f>
        <x:v>25</x:v>
      </x:c>
      <x:c r="G13" s="10" t="n">
        <x:f>MAX('Subcriterion marks'!I6:I22)</x:f>
        <x:v>85</x:v>
      </x:c>
      <x:c r="H13" s="21" t="n">
        <x:f>Overview!C34/Overview!C33</x:f>
        <x:v>0.041666666666666664</x:v>
      </x:c>
    </x:row>
    <x:row r="14" ht="25" customHeight="1">
      <x:c r="A14" s="2" t="str">
        <x:v>C2D</x:v>
      </x:c>
      <x:c r="B14" s="2" t="str">
        <x:v>Assumptions, limitations and uncertainty</x:v>
      </x:c>
      <x:c r="C14" s="2" t="n">
        <x:f>COUNT('Subcriterion marks'!J6:J22)</x:f>
        <x:v>17</x:v>
      </x:c>
      <x:c r="D14" s="9" t="n">
        <x:f>AVERAGE('Subcriterion marks'!J6:J22)</x:f>
        <x:v>63.529411764705884</x:v>
      </x:c>
      <x:c r="E14" s="9" t="n">
        <x:f>STDEV.P('Subcriterion marks'!J6:J22)</x:f>
        <x:v>12.691440594347892</x:v>
      </x:c>
      <x:c r="F14" s="9" t="n">
        <x:f>MIN('Subcriterion marks'!J6:J22)</x:f>
        <x:v>45</x:v>
      </x:c>
      <x:c r="G14" s="9" t="n">
        <x:f>MAX('Subcriterion marks'!J6:J22)</x:f>
        <x:v>85</x:v>
      </x:c>
      <x:c r="H14" s="20" t="n">
        <x:f>Overview!C34/Overview!C33</x:f>
        <x:v>0.041666666666666664</x:v>
      </x:c>
    </x:row>
    <x:row r="15" ht="25" customHeight="1">
      <x:c r="A15" s="8" t="str">
        <x:v>C2E</x:v>
      </x:c>
      <x:c r="B15" s="8" t="str">
        <x:v>Counterarguments and alternative perspectives</x:v>
      </x:c>
      <x:c r="C15" s="8" t="n">
        <x:f>COUNT('Subcriterion marks'!K6:K22)</x:f>
        <x:v>17</x:v>
      </x:c>
      <x:c r="D15" s="10" t="n">
        <x:f>AVERAGE('Subcriterion marks'!K6:K22)</x:f>
        <x:v>62.64705882352941</x:v>
      </x:c>
      <x:c r="E15" s="10" t="n">
        <x:f>STDEV.P('Subcriterion marks'!K6:K22)</x:f>
        <x:v>11.519503545627142</x:v>
      </x:c>
      <x:c r="F15" s="10" t="n">
        <x:f>MIN('Subcriterion marks'!K6:K22)</x:f>
        <x:v>45</x:v>
      </x:c>
      <x:c r="G15" s="10" t="n">
        <x:f>MAX('Subcriterion marks'!K6:K22)</x:f>
        <x:v>80</x:v>
      </x:c>
      <x:c r="H15" s="21" t="n">
        <x:f>Overview!C34/Overview!C33</x:f>
        <x:v>0.041666666666666664</x:v>
      </x:c>
    </x:row>
    <x:row r="16" ht="25" customHeight="1">
      <x:c r="A16" s="2" t="str">
        <x:v>C2F</x:v>
      </x:c>
      <x:c r="B16" s="2" t="str">
        <x:v>Bias and fallacy control</x:v>
      </x:c>
      <x:c r="C16" s="2" t="n">
        <x:f>COUNT('Subcriterion marks'!L6:L22)</x:f>
        <x:v>17</x:v>
      </x:c>
      <x:c r="D16" s="9" t="n">
        <x:f>AVERAGE('Subcriterion marks'!L6:L22)</x:f>
        <x:v>64.41176470588235</x:v>
      </x:c>
      <x:c r="E16" s="9" t="n">
        <x:f>STDEV.P('Subcriterion marks'!L6:L22)</x:f>
        <x:v>11.616716269489116</x:v>
      </x:c>
      <x:c r="F16" s="9" t="n">
        <x:f>MIN('Subcriterion marks'!L6:L22)</x:f>
        <x:v>45</x:v>
      </x:c>
      <x:c r="G16" s="9" t="n">
        <x:f>MAX('Subcriterion marks'!L6:L22)</x:f>
        <x:v>80</x:v>
      </x:c>
      <x:c r="H16" s="20" t="n">
        <x:f>Overview!C34/Overview!C33</x:f>
        <x:v>0.041666666666666664</x:v>
      </x:c>
    </x:row>
    <x:row r="17" ht="25" customHeight="1">
      <x:c r="A17" s="8" t="str">
        <x:v>C3A</x:v>
      </x:c>
      <x:c r="B17" s="8" t="str">
        <x:v>Application of an argumentation method</x:v>
      </x:c>
      <x:c r="C17" s="8" t="n">
        <x:f>COUNT('Subcriterion marks'!M6:M22)</x:f>
        <x:v>17</x:v>
      </x:c>
      <x:c r="D17" s="10" t="n">
        <x:f>AVERAGE('Subcriterion marks'!M6:M22)</x:f>
        <x:v>63.8235294117647</x:v>
      </x:c>
      <x:c r="E17" s="10" t="n">
        <x:f>STDEV.P('Subcriterion marks'!M6:M22)</x:f>
        <x:v>11.051937781209373</x:v>
      </x:c>
      <x:c r="F17" s="10" t="n">
        <x:f>MIN('Subcriterion marks'!M6:M22)</x:f>
        <x:v>45</x:v>
      </x:c>
      <x:c r="G17" s="10" t="n">
        <x:f>MAX('Subcriterion marks'!M6:M22)</x:f>
        <x:v>80</x:v>
      </x:c>
      <x:c r="H17" s="21" t="n">
        <x:f>Overview!D34/Overview!D33</x:f>
        <x:v>0.05</x:v>
      </x:c>
    </x:row>
    <x:row r="18" ht="25" customHeight="1">
      <x:c r="A18" s="2" t="str">
        <x:v>C3B</x:v>
      </x:c>
      <x:c r="B18" s="2" t="str">
        <x:v>Application of persuasion techniques</x:v>
      </x:c>
      <x:c r="C18" s="2" t="n">
        <x:f>COUNT('Subcriterion marks'!N6:N22)</x:f>
        <x:v>17</x:v>
      </x:c>
      <x:c r="D18" s="9" t="n">
        <x:f>AVERAGE('Subcriterion marks'!N6:N22)</x:f>
        <x:v>55.588235294117645</x:v>
      </x:c>
      <x:c r="E18" s="9" t="n">
        <x:f>STDEV.P('Subcriterion marks'!N6:N22)</x:f>
        <x:v>8.724939396583133</x:v>
      </x:c>
      <x:c r="F18" s="9" t="n">
        <x:f>MIN('Subcriterion marks'!N6:N22)</x:f>
        <x:v>45</x:v>
      </x:c>
      <x:c r="G18" s="9" t="n">
        <x:f>MAX('Subcriterion marks'!N6:N22)</x:f>
        <x:v>75</x:v>
      </x:c>
      <x:c r="H18" s="20" t="n">
        <x:f>Overview!D34/Overview!D33</x:f>
        <x:v>0.05</x:v>
      </x:c>
    </x:row>
    <x:row r="19" ht="25" customHeight="1">
      <x:c r="A19" s="8" t="str">
        <x:v>C3C</x:v>
      </x:c>
      <x:c r="B19" s="8" t="str">
        <x:v>Ethical and evidence-based persuasion</x:v>
      </x:c>
      <x:c r="C19" s="8" t="n">
        <x:f>COUNT('Subcriterion marks'!O6:O22)</x:f>
        <x:v>17</x:v>
      </x:c>
      <x:c r="D19" s="10" t="n">
        <x:f>AVERAGE('Subcriterion marks'!O6:O22)</x:f>
        <x:v>65.29411764705883</x:v>
      </x:c>
      <x:c r="E19" s="10" t="n">
        <x:f>STDEV.P('Subcriterion marks'!O6:O22)</x:f>
        <x:v>11.30728399220064</x:v>
      </x:c>
      <x:c r="F19" s="10" t="n">
        <x:f>MIN('Subcriterion marks'!O6:O22)</x:f>
        <x:v>45</x:v>
      </x:c>
      <x:c r="G19" s="10" t="n">
        <x:f>MAX('Subcriterion marks'!O6:O22)</x:f>
        <x:v>80</x:v>
      </x:c>
      <x:c r="H19" s="21" t="n">
        <x:f>Overview!D34/Overview!D33</x:f>
        <x:v>0.05</x:v>
      </x:c>
    </x:row>
    <x:row r="20" ht="25" customHeight="1">
      <x:c r="A20" s="2" t="str">
        <x:v>C3D</x:v>
      </x:c>
      <x:c r="B20" s="2" t="str">
        <x:v>Audience and genre adaptation</x:v>
      </x:c>
      <x:c r="C20" s="2" t="n">
        <x:f>COUNT('Subcriterion marks'!P6:P22)</x:f>
        <x:v>17</x:v>
      </x:c>
      <x:c r="D20" s="9" t="n">
        <x:f>AVERAGE('Subcriterion marks'!P6:P22)</x:f>
        <x:v>70</x:v>
      </x:c>
      <x:c r="E20" s="9" t="n">
        <x:f>STDEV.P('Subcriterion marks'!P6:P22)</x:f>
        <x:v>7.276068751089989</x:v>
      </x:c>
      <x:c r="F20" s="9" t="n">
        <x:f>MIN('Subcriterion marks'!P6:P22)</x:f>
        <x:v>55</x:v>
      </x:c>
      <x:c r="G20" s="9" t="n">
        <x:f>MAX('Subcriterion marks'!P6:P22)</x:f>
        <x:v>80</x:v>
      </x:c>
      <x:c r="H20" s="20" t="n">
        <x:f>Overview!D34/Overview!D33</x:f>
        <x:v>0.05</x:v>
      </x:c>
    </x:row>
    <x:row r="21" ht="25" customHeight="1">
      <x:c r="A21" s="8" t="str">
        <x:v>C3E</x:v>
      </x:c>
      <x:c r="B21" s="8" t="str">
        <x:v>Gricean communication</x:v>
      </x:c>
      <x:c r="C21" s="8" t="n">
        <x:f>COUNT('Subcriterion marks'!Q6:Q22)</x:f>
        <x:v>17</x:v>
      </x:c>
      <x:c r="D21" s="10" t="n">
        <x:f>AVERAGE('Subcriterion marks'!Q6:Q22)</x:f>
        <x:v>64.41176470588235</x:v>
      </x:c>
      <x:c r="E21" s="10" t="n">
        <x:f>STDEV.P('Subcriterion marks'!Q6:Q22)</x:f>
        <x:v>10.555504967603742</x:v>
      </x:c>
      <x:c r="F21" s="10" t="n">
        <x:f>MIN('Subcriterion marks'!Q6:Q22)</x:f>
        <x:v>45</x:v>
      </x:c>
      <x:c r="G21" s="10" t="n">
        <x:f>MAX('Subcriterion marks'!Q6:Q22)</x:f>
        <x:v>80</x:v>
      </x:c>
      <x:c r="H21" s="21" t="n">
        <x:f>Overview!D34/Overview!D33</x:f>
        <x:v>0.05</x:v>
      </x:c>
    </x:row>
    <x:row r="22" ht="25" customHeight="1">
      <x:c r="A22" s="2" t="str">
        <x:v>C4A</x:v>
      </x:c>
      <x:c r="B22" s="2" t="str">
        <x:v>Clarity and concision</x:v>
      </x:c>
      <x:c r="C22" s="2" t="n">
        <x:f>COUNT('Subcriterion marks'!R6:R22)</x:f>
        <x:v>17</x:v>
      </x:c>
      <x:c r="D22" s="9" t="n">
        <x:f>AVERAGE('Subcriterion marks'!R6:R22)</x:f>
        <x:v>66.17647058823529</x:v>
      </x:c>
      <x:c r="E22" s="9" t="n">
        <x:f>STDEV.P('Subcriterion marks'!R6:R22)</x:f>
        <x:v>6.972511524193941</x:v>
      </x:c>
      <x:c r="F22" s="9" t="n">
        <x:f>MIN('Subcriterion marks'!R6:R22)</x:f>
        <x:v>50</x:v>
      </x:c>
      <x:c r="G22" s="9" t="n">
        <x:f>MAX('Subcriterion marks'!R6:R22)</x:f>
        <x:v>75</x:v>
      </x:c>
      <x:c r="H22" s="20" t="n">
        <x:f>Overview!E34/Overview!E33</x:f>
        <x:v>0.014285714285714287</x:v>
      </x:c>
    </x:row>
    <x:row r="23" ht="25" customHeight="1">
      <x:c r="A23" s="8" t="str">
        <x:v>C4B</x:v>
      </x:c>
      <x:c r="B23" s="8" t="str">
        <x:v>Organisation and progression</x:v>
      </x:c>
      <x:c r="C23" s="8" t="n">
        <x:f>COUNT('Subcriterion marks'!S6:S22)</x:f>
        <x:v>17</x:v>
      </x:c>
      <x:c r="D23" s="10" t="n">
        <x:f>AVERAGE('Subcriterion marks'!S6:S22)</x:f>
        <x:v>71.17647058823529</x:v>
      </x:c>
      <x:c r="E23" s="10" t="n">
        <x:f>STDEV.P('Subcriterion marks'!S6:S22)</x:f>
        <x:v>5.294117647058823</x:v>
      </x:c>
      <x:c r="F23" s="10" t="n">
        <x:f>MIN('Subcriterion marks'!S6:S22)</x:f>
        <x:v>65</x:v>
      </x:c>
      <x:c r="G23" s="10" t="n">
        <x:f>MAX('Subcriterion marks'!S6:S22)</x:f>
        <x:v>80</x:v>
      </x:c>
      <x:c r="H23" s="21" t="n">
        <x:f>Overview!E34/Overview!E33</x:f>
        <x:v>0.014285714285714287</x:v>
      </x:c>
    </x:row>
    <x:row r="24" ht="25" customHeight="1">
      <x:c r="A24" s="2" t="str">
        <x:v>C4C</x:v>
      </x:c>
      <x:c r="B24" s="2" t="str">
        <x:v>Introduction and conclusion</x:v>
      </x:c>
      <x:c r="C24" s="2" t="n">
        <x:f>COUNT('Subcriterion marks'!T6:T22)</x:f>
        <x:v>17</x:v>
      </x:c>
      <x:c r="D24" s="9" t="n">
        <x:f>AVERAGE('Subcriterion marks'!T6:T22)</x:f>
        <x:v>68.82352941176471</x:v>
      </x:c>
      <x:c r="E24" s="9" t="n">
        <x:f>STDEV.P('Subcriterion marks'!T6:T22)</x:f>
        <x:v>6.070519835455969</x:v>
      </x:c>
      <x:c r="F24" s="9" t="n">
        <x:f>MIN('Subcriterion marks'!T6:T22)</x:f>
        <x:v>55</x:v>
      </x:c>
      <x:c r="G24" s="9" t="n">
        <x:f>MAX('Subcriterion marks'!T6:T22)</x:f>
        <x:v>80</x:v>
      </x:c>
      <x:c r="H24" s="20" t="n">
        <x:f>Overview!E34/Overview!E33</x:f>
        <x:v>0.014285714285714287</x:v>
      </x:c>
    </x:row>
    <x:row r="25" ht="25" customHeight="1">
      <x:c r="A25" s="8" t="str">
        <x:v>C4D</x:v>
      </x:c>
      <x:c r="B25" s="8" t="str">
        <x:v>Concrete communication</x:v>
      </x:c>
      <x:c r="C25" s="8" t="n">
        <x:f>COUNT('Subcriterion marks'!U6:U22)</x:f>
        <x:v>17</x:v>
      </x:c>
      <x:c r="D25" s="10" t="n">
        <x:f>AVERAGE('Subcriterion marks'!U6:U22)</x:f>
        <x:v>70</x:v>
      </x:c>
      <x:c r="E25" s="10" t="n">
        <x:f>STDEV.P('Subcriterion marks'!U6:U22)</x:f>
        <x:v>7.276068751089989</x:v>
      </x:c>
      <x:c r="F25" s="10" t="n">
        <x:f>MIN('Subcriterion marks'!U6:U22)</x:f>
        <x:v>50</x:v>
      </x:c>
      <x:c r="G25" s="10" t="n">
        <x:f>MAX('Subcriterion marks'!U6:U22)</x:f>
        <x:v>80</x:v>
      </x:c>
      <x:c r="H25" s="21" t="n">
        <x:f>Overview!E34/Overview!E33</x:f>
        <x:v>0.014285714285714287</x:v>
      </x:c>
    </x:row>
    <x:row r="26" ht="25" customHeight="1">
      <x:c r="A26" s="2" t="str">
        <x:v>C4E</x:v>
      </x:c>
      <x:c r="B26" s="2" t="str">
        <x:v>Accuracy of written English</x:v>
      </x:c>
      <x:c r="C26" s="2" t="n">
        <x:f>COUNT('Subcriterion marks'!V6:V22)</x:f>
        <x:v>17</x:v>
      </x:c>
      <x:c r="D26" s="9" t="n">
        <x:f>AVERAGE('Subcriterion marks'!V6:V22)</x:f>
        <x:v>65.88235294117646</x:v>
      </x:c>
      <x:c r="E26" s="9" t="n">
        <x:f>STDEV.P('Subcriterion marks'!V6:V22)</x:f>
        <x:v>9.430129142283178</x:v>
      </x:c>
      <x:c r="F26" s="9" t="n">
        <x:f>MIN('Subcriterion marks'!V6:V22)</x:f>
        <x:v>45</x:v>
      </x:c>
      <x:c r="G26" s="9" t="n">
        <x:f>MAX('Subcriterion marks'!V6:V22)</x:f>
        <x:v>75</x:v>
      </x:c>
      <x:c r="H26" s="20" t="n">
        <x:f>Overview!E34/Overview!E33</x:f>
        <x:v>0.014285714285714287</x:v>
      </x:c>
    </x:row>
    <x:row r="27" ht="25" customHeight="1">
      <x:c r="A27" s="8" t="str">
        <x:v>C4F</x:v>
      </x:c>
      <x:c r="B27" s="8" t="str">
        <x:v>APA formatting</x:v>
      </x:c>
      <x:c r="C27" s="8" t="n">
        <x:f>COUNT('Subcriterion marks'!W6:W22)</x:f>
        <x:v>17</x:v>
      </x:c>
      <x:c r="D27" s="10" t="n">
        <x:f>AVERAGE('Subcriterion marks'!W6:W22)</x:f>
        <x:v>58.8235294117647</x:v>
      </x:c>
      <x:c r="E27" s="10" t="n">
        <x:f>STDEV.P('Subcriterion marks'!W6:W22)</x:f>
        <x:v>11.823383083671636</x:v>
      </x:c>
      <x:c r="F27" s="10" t="n">
        <x:f>MIN('Subcriterion marks'!W6:W22)</x:f>
        <x:v>40</x:v>
      </x:c>
      <x:c r="G27" s="10" t="n">
        <x:f>MAX('Subcriterion marks'!W6:W22)</x:f>
        <x:v>75</x:v>
      </x:c>
      <x:c r="H27" s="21" t="n">
        <x:f>Overview!E34/Overview!E33</x:f>
        <x:v>0.014285714285714287</x:v>
      </x:c>
    </x:row>
    <x:row r="28" ht="25" customHeight="1">
      <x:c r="A28" s="2" t="str">
        <x:v>C4G</x:v>
      </x:c>
      <x:c r="B28" s="2" t="str">
        <x:v>Required structure and word limit</x:v>
      </x:c>
      <x:c r="C28" s="2" t="n">
        <x:f>COUNT('Subcriterion marks'!X6:X22)</x:f>
        <x:v>17</x:v>
      </x:c>
      <x:c r="D28" s="9" t="n">
        <x:f>AVERAGE('Subcriterion marks'!X6:X22)</x:f>
        <x:v>65.58823529411765</x:v>
      </x:c>
      <x:c r="E28" s="9" t="n">
        <x:f>STDEV.P('Subcriterion marks'!X6:X22)</x:f>
        <x:v>15.231773383793001</x:v>
      </x:c>
      <x:c r="F28" s="9" t="n">
        <x:f>MIN('Subcriterion marks'!X6:X22)</x:f>
        <x:v>25</x:v>
      </x:c>
      <x:c r="G28" s="9" t="n">
        <x:f>MAX('Subcriterion marks'!X6:X22)</x:f>
        <x:v>75</x:v>
      </x:c>
      <x:c r="H28" s="20" t="n">
        <x:f>Overview!E34/Overview!E33</x:f>
        <x:v>0.014285714285714287</x:v>
      </x:c>
    </x:row>
    <x:row r="29" ht="25" customHeight="1">
      <x:c r="A29" s="8" t="str">
        <x:v>C5A</x:v>
      </x:c>
      <x:c r="B29" s="8" t="str">
        <x:v>Range and relevance of reading</x:v>
      </x:c>
      <x:c r="C29" s="8" t="n">
        <x:f>COUNT('Subcriterion marks'!Y6:Y22)</x:f>
        <x:v>17</x:v>
      </x:c>
      <x:c r="D29" s="10" t="n">
        <x:f>AVERAGE('Subcriterion marks'!Y6:Y22)</x:f>
        <x:v>55.88235294117647</x:v>
      </x:c>
      <x:c r="E29" s="10" t="n">
        <x:f>STDEV.P('Subcriterion marks'!Y6:Y22)</x:f>
        <x:v>11.534512677133868</x:v>
      </x:c>
      <x:c r="F29" s="10" t="n">
        <x:f>MIN('Subcriterion marks'!Y6:Y22)</x:f>
        <x:v>30</x:v>
      </x:c>
      <x:c r="G29" s="10" t="n">
        <x:f>MAX('Subcriterion marks'!Y6:Y22)</x:f>
        <x:v>75</x:v>
      </x:c>
      <x:c r="H29" s="21" t="n">
        <x:f>Overview!F34/Overview!F33</x:f>
        <x:v>0.024999999999999998</x:v>
      </x:c>
    </x:row>
    <x:row r="30" ht="25" customHeight="1">
      <x:c r="A30" s="2" t="str">
        <x:v>C5B</x:v>
      </x:c>
      <x:c r="B30" s="2" t="str">
        <x:v>Academic quality of sources</x:v>
      </x:c>
      <x:c r="C30" s="2" t="n">
        <x:f>COUNT('Subcriterion marks'!Z6:Z22)</x:f>
        <x:v>17</x:v>
      </x:c>
      <x:c r="D30" s="9" t="n">
        <x:f>AVERAGE('Subcriterion marks'!Z6:Z22)</x:f>
        <x:v>71.76470588235294</x:v>
      </x:c>
      <x:c r="E30" s="9" t="n">
        <x:f>STDEV.P('Subcriterion marks'!Z6:Z22)</x:f>
        <x:v>6.629075099755673</x:v>
      </x:c>
      <x:c r="F30" s="9" t="n">
        <x:f>MIN('Subcriterion marks'!Z6:Z22)</x:f>
        <x:v>50</x:v>
      </x:c>
      <x:c r="G30" s="9" t="n">
        <x:f>MAX('Subcriterion marks'!Z6:Z22)</x:f>
        <x:v>80</x:v>
      </x:c>
      <x:c r="H30" s="20" t="n">
        <x:f>Overview!F34/Overview!F33</x:f>
        <x:v>0.024999999999999998</x:v>
      </x:c>
    </x:row>
    <x:row r="31" ht="25" customHeight="1">
      <x:c r="A31" s="8" t="str">
        <x:v>C5C</x:v>
      </x:c>
      <x:c r="B31" s="8" t="str">
        <x:v>Balance of recent and foundational research</x:v>
      </x:c>
      <x:c r="C31" s="8" t="n">
        <x:f>COUNT('Subcriterion marks'!AA6:AA22)</x:f>
        <x:v>17</x:v>
      </x:c>
      <x:c r="D31" s="10" t="n">
        <x:f>AVERAGE('Subcriterion marks'!AA6:AA22)</x:f>
        <x:v>66.76470588235294</x:v>
      </x:c>
      <x:c r="E31" s="10" t="n">
        <x:f>STDEV.P('Subcriterion marks'!AA6:AA22)</x:f>
        <x:v>9.991345736154724</x:v>
      </x:c>
      <x:c r="F31" s="10" t="n">
        <x:f>MIN('Subcriterion marks'!AA6:AA22)</x:f>
        <x:v>35</x:v>
      </x:c>
      <x:c r="G31" s="10" t="n">
        <x:f>MAX('Subcriterion marks'!AA6:AA22)</x:f>
        <x:v>75</x:v>
      </x:c>
      <x:c r="H31" s="21" t="n">
        <x:f>Overview!F34/Overview!F33</x:f>
        <x:v>0.024999999999999998</x:v>
      </x:c>
    </x:row>
    <x:row r="32" ht="25" customHeight="1">
      <x:c r="A32" s="2" t="str">
        <x:v>C5D</x:v>
      </x:c>
      <x:c r="B32" s="2" t="str">
        <x:v>Use of primary and secondary evidence</x:v>
      </x:c>
      <x:c r="C32" s="2" t="n">
        <x:f>COUNT('Subcriterion marks'!AB6:AB22)</x:f>
        <x:v>17</x:v>
      </x:c>
      <x:c r="D32" s="9" t="n">
        <x:f>AVERAGE('Subcriterion marks'!AB6:AB22)</x:f>
        <x:v>49.411764705882355</x:v>
      </x:c>
      <x:c r="E32" s="9" t="n">
        <x:f>STDEV.P('Subcriterion marks'!AB6:AB22)</x:f>
        <x:v>17.89531264138383</x:v>
      </x:c>
      <x:c r="F32" s="9" t="n">
        <x:f>MIN('Subcriterion marks'!AB6:AB22)</x:f>
        <x:v>25</x:v>
      </x:c>
      <x:c r="G32" s="9" t="n">
        <x:f>MAX('Subcriterion marks'!AB6:AB22)</x:f>
        <x:v>80</x:v>
      </x:c>
      <x:c r="H32" s="20" t="n">
        <x:f>Overview!F34/Overview!F33</x:f>
        <x:v>0.024999999999999998</x:v>
      </x:c>
    </x:row>
    <x:row r="33" ht="25" customHeight="1">
      <x:c r="A33" s="8" t="str">
        <x:v>C5E</x:v>
      </x:c>
      <x:c r="B33" s="8" t="str">
        <x:v>Use of evidence synthesis</x:v>
      </x:c>
      <x:c r="C33" s="8" t="n">
        <x:f>COUNT('Subcriterion marks'!AC6:AC22)</x:f>
        <x:v>17</x:v>
      </x:c>
      <x:c r="D33" s="10" t="n">
        <x:f>AVERAGE('Subcriterion marks'!AC6:AC22)</x:f>
        <x:v>66.17647058823529</x:v>
      </x:c>
      <x:c r="E33" s="10" t="n">
        <x:f>STDEV.P('Subcriterion marks'!AC6:AC22)</x:f>
        <x:v>17.61762250808463</x:v>
      </x:c>
      <x:c r="F33" s="10" t="n">
        <x:f>MIN('Subcriterion marks'!AC6:AC22)</x:f>
        <x:v>0</x:v>
      </x:c>
      <x:c r="G33" s="10" t="n">
        <x:f>MAX('Subcriterion marks'!AC6:AC22)</x:f>
        <x:v>85</x:v>
      </x:c>
      <x:c r="H33" s="21" t="n">
        <x:f>Overview!F34/Overview!F33</x:f>
        <x:v>0.024999999999999998</x:v>
      </x:c>
    </x:row>
    <x:row r="34" ht="25" customHeight="1">
      <x:c r="A34" s="2" t="str">
        <x:v>C5F</x:v>
      </x:c>
      <x:c r="B34" s="2" t="str">
        <x:v>Integration of sources</x:v>
      </x:c>
      <x:c r="C34" s="2" t="n">
        <x:f>COUNT('Subcriterion marks'!AD6:AD22)</x:f>
        <x:v>17</x:v>
      </x:c>
      <x:c r="D34" s="9" t="n">
        <x:f>AVERAGE('Subcriterion marks'!AD6:AD22)</x:f>
        <x:v>62.94117647058823</x:v>
      </x:c>
      <x:c r="E34" s="9" t="n">
        <x:f>STDEV.P('Subcriterion marks'!AD6:AD22)</x:f>
        <x:v>13.510216562183356</x:v>
      </x:c>
      <x:c r="F34" s="9" t="n">
        <x:f>MIN('Subcriterion marks'!AD6:AD22)</x:f>
        <x:v>40</x:v>
      </x:c>
      <x:c r="G34" s="9" t="n">
        <x:f>MAX('Subcriterion marks'!AD6:AD22)</x:f>
        <x:v>85</x:v>
      </x:c>
      <x:c r="H34" s="20" t="n">
        <x:f>Overview!F34/Overview!F33</x:f>
        <x:v>0.024999999999999998</x:v>
      </x:c>
    </x:row>
    <x:row r="35" ht="25" customHeight="1">
      <x:c r="A35" s="8"/>
      <x:c r="B35" s="8"/>
      <x:c r="C35" s="8"/>
      <x:c r="D35" s="10"/>
      <x:c r="E35" s="10"/>
      <x:c r="F35" s="10"/>
      <x:c r="G35" s="10"/>
      <x:c r="H35" s="21"/>
    </x:row>
    <x:row r="36" ht="25" customHeight="1">
      <x:c r="A36" s="2" t="str">
        <x:v>C1</x:v>
      </x:c>
      <x:c r="B36" s="2" t="str">
        <x:v>Knowledge and Understanding</x:v>
      </x:c>
      <x:c r="C36" s="2" t="n">
        <x:f>COUNT('Subcriterion marks'!AE6:AE22)</x:f>
        <x:v>17</x:v>
      </x:c>
      <x:c r="D36" s="9" t="n">
        <x:f>AVERAGE('Subcriterion marks'!AE6:AE22)</x:f>
        <x:v>50.411764705882355</x:v>
      </x:c>
      <x:c r="E36" s="9" t="n">
        <x:f>STDEV.P('Subcriterion marks'!AE6:AE22)</x:f>
        <x:v>11.35553155452501</x:v>
      </x:c>
      <x:c r="F36" s="9" t="n">
        <x:f>MIN('Subcriterion marks'!AE6:AE22)</x:f>
        <x:v>34</x:v>
      </x:c>
      <x:c r="G36" s="9" t="n">
        <x:f>MAX('Subcriterion marks'!AE6:AE22)</x:f>
        <x:v>72</x:v>
      </x:c>
      <x:c r="H36" s="20" t="n">
        <x:f>Overview!B34</x:f>
        <x:v>0.25</x:v>
      </x:c>
    </x:row>
    <x:row r="37" ht="25" customHeight="1">
      <x:c r="A37" s="8" t="str">
        <x:v>C2</x:v>
      </x:c>
      <x:c r="B37" s="8" t="str">
        <x:v>Critical Analysis and Evaluation</x:v>
      </x:c>
      <x:c r="C37" s="8" t="n">
        <x:f>COUNT('Subcriterion marks'!AF6:AF22)</x:f>
        <x:v>17</x:v>
      </x:c>
      <x:c r="D37" s="10" t="n">
        <x:f>AVERAGE('Subcriterion marks'!AF6:AF22)</x:f>
        <x:v>63.6764705882353</x:v>
      </x:c>
      <x:c r="E37" s="10" t="n">
        <x:f>STDEV.P('Subcriterion marks'!AF6:AF22)</x:f>
        <x:v>11.05563331818347</x:v>
      </x:c>
      <x:c r="F37" s="10" t="n">
        <x:f>MIN('Subcriterion marks'!AF6:AF22)</x:f>
        <x:v>45</x:v>
      </x:c>
      <x:c r="G37" s="10" t="n">
        <x:f>MAX('Subcriterion marks'!AF6:AF22)</x:f>
        <x:v>82.5</x:v>
      </x:c>
      <x:c r="H37" s="21" t="n">
        <x:f>Overview!C34</x:f>
        <x:v>0.25</x:v>
      </x:c>
    </x:row>
    <x:row r="38" ht="25" customHeight="1">
      <x:c r="A38" s="2" t="str">
        <x:v>C3</x:v>
      </x:c>
      <x:c r="B38" s="2" t="str">
        <x:v>Application</x:v>
      </x:c>
      <x:c r="C38" s="2" t="n">
        <x:f>COUNT('Subcriterion marks'!AG6:AG22)</x:f>
        <x:v>17</x:v>
      </x:c>
      <x:c r="D38" s="9" t="n">
        <x:f>AVERAGE('Subcriterion marks'!AG6:AG22)</x:f>
        <x:v>63.8235294117647</x:v>
      </x:c>
      <x:c r="E38" s="9" t="n">
        <x:f>STDEV.P('Subcriterion marks'!AG6:AG22)</x:f>
        <x:v>8.016419136905624</x:v>
      </x:c>
      <x:c r="F38" s="9" t="n">
        <x:f>MIN('Subcriterion marks'!AG6:AG22)</x:f>
        <x:v>49</x:v>
      </x:c>
      <x:c r="G38" s="9" t="n">
        <x:f>MAX('Subcriterion marks'!AG6:AG22)</x:f>
        <x:v>74</x:v>
      </x:c>
      <x:c r="H38" s="20" t="n">
        <x:f>Overview!D34</x:f>
        <x:v>0.25</x:v>
      </x:c>
    </x:row>
    <x:row r="39" ht="25" customHeight="1">
      <x:c r="A39" s="8" t="str">
        <x:v>C4</x:v>
      </x:c>
      <x:c r="B39" s="8" t="str">
        <x:v>Presentation</x:v>
      </x:c>
      <x:c r="C39" s="8" t="n">
        <x:f>COUNT('Subcriterion marks'!AH6:AH22)</x:f>
        <x:v>17</x:v>
      </x:c>
      <x:c r="D39" s="10" t="n">
        <x:f>AVERAGE('Subcriterion marks'!AH6:AH22)</x:f>
        <x:v>66.63865546218487</x:v>
      </x:c>
      <x:c r="E39" s="10" t="n">
        <x:f>STDEV.P('Subcriterion marks'!AH6:AH22)</x:f>
        <x:v>6.5820370431649975</x:v>
      </x:c>
      <x:c r="F39" s="10" t="n">
        <x:f>MIN('Subcriterion marks'!AH6:AH22)</x:f>
        <x:v>57.857142857142854</x:v>
      </x:c>
      <x:c r="G39" s="10" t="n">
        <x:f>MAX('Subcriterion marks'!AH6:AH22)</x:f>
        <x:v>76.42857142857143</x:v>
      </x:c>
      <x:c r="H39" s="21" t="n">
        <x:f>Overview!E34</x:f>
        <x:v>0.1</x:v>
      </x:c>
    </x:row>
    <x:row r="40" ht="25" customHeight="1">
      <x:c r="A40" s="2" t="str">
        <x:v>C5</x:v>
      </x:c>
      <x:c r="B40" s="2" t="str">
        <x:v>Reading</x:v>
      </x:c>
      <x:c r="C40" s="2" t="n">
        <x:f>COUNT('Subcriterion marks'!AI6:AI22)</x:f>
        <x:v>17</x:v>
      </x:c>
      <x:c r="D40" s="9" t="n">
        <x:f>AVERAGE('Subcriterion marks'!AI6:AI22)</x:f>
        <x:v>62.15686274509803</x:v>
      </x:c>
      <x:c r="E40" s="9" t="n">
        <x:f>STDEV.P('Subcriterion marks'!AI6:AI22)</x:f>
        <x:v>10.270280524555137</x:v>
      </x:c>
      <x:c r="F40" s="9" t="n">
        <x:f>MIN('Subcriterion marks'!AI6:AI22)</x:f>
        <x:v>30</x:v>
      </x:c>
      <x:c r="G40" s="9" t="n">
        <x:f>MAX('Subcriterion marks'!AI6:AI22)</x:f>
        <x:v>73.33333333333333</x:v>
      </x:c>
      <x:c r="H40" s="20" t="n">
        <x:f>Overview!F34</x:f>
        <x:v>0.15</x:v>
      </x:c>
    </x:row>
    <x:row r="41" ht="25" customHeight="1">
      <x:c r="A41" s="8" t="str">
        <x:v>Overall</x:v>
      </x:c>
      <x:c r="B41" s="8" t="str">
        <x:v>Assessed weighted overall</x:v>
      </x:c>
      <x:c r="C41" s="8" t="n">
        <x:f>COUNT('Subcriterion marks'!AJ6:AJ22)</x:f>
        <x:v>17</x:v>
      </x:c>
      <x:c r="D41" s="10" t="n">
        <x:f>AVERAGE('Subcriterion marks'!AJ6:AJ22)</x:f>
        <x:v>60.46533613445378</x:v>
      </x:c>
      <x:c r="E41" s="10" t="n">
        <x:f>STDEV.P('Subcriterion marks'!AJ6:AJ22)</x:f>
        <x:v>8.75613583606589</x:v>
      </x:c>
      <x:c r="F41" s="10" t="n">
        <x:f>MIN('Subcriterion marks'!AJ6:AJ22)</x:f>
        <x:v>46.654761904761905</x:v>
      </x:c>
      <x:c r="G41" s="10" t="n">
        <x:f>MAX('Subcriterion marks'!AJ6:AJ22)</x:f>
        <x:v>75.51785714285714</x:v>
      </x:c>
      <x:c r="H41" s="21"/>
    </x:row>
    <x:row r="42" ht="25" customHeight="1">
      <x:c r="A42" s="2" t="str">
        <x:v>Standardised</x:v>
      </x:c>
      <x:c r="B42" s="2" t="str">
        <x:v>Overall before final integer rounding</x:v>
      </x:c>
      <x:c r="C42" s="2" t="n">
        <x:f>COUNT('Subcriterion marks'!AK6:AK22)</x:f>
        <x:v>17</x:v>
      </x:c>
      <x:c r="D42" s="9" t="n">
        <x:f>AVERAGE('Subcriterion marks'!AK6:AK22)</x:f>
        <x:v>65.00000000000001</x:v>
      </x:c>
      <x:c r="E42" s="9" t="n">
        <x:f>STDEV.P('Subcriterion marks'!AK6:AK22)</x:f>
        <x:v>10.000000000000002</x:v>
      </x:c>
      <x:c r="F42" s="9" t="n">
        <x:f>MIN('Subcriterion marks'!AK6:AK22)</x:f>
        <x:v>49.22754684457142</x:v>
      </x:c>
      <x:c r="G42" s="9" t="n">
        <x:f>MAX('Subcriterion marks'!AK6:AK22)</x:f>
        <x:v>82.19082628481289</x:v>
      </x:c>
      <x:c r="H42" s="20"/>
    </x:row>
    <x:row r="43" ht="25" customHeight="1">
      <x:c r="A43" s="1" t="str">
        <x:v>Moderated</x:v>
      </x:c>
      <x:c r="B43" s="1" t="str">
        <x:v>Mean-preserving whole-number overall</x:v>
      </x:c>
      <x:c r="C43" s="1" t="n">
        <x:f>COUNT('Subcriterion marks'!AQ6:AQ22)</x:f>
        <x:v>17</x:v>
      </x:c>
      <x:c r="D43" s="36" t="n">
        <x:f>AVERAGE('Subcriterion marks'!AQ6:AQ22)</x:f>
        <x:v>65</x:v>
      </x:c>
      <x:c r="E43" s="36" t="n">
        <x:f>STDEV.P('Subcriterion marks'!AQ6:AQ22)</x:f>
        <x:v>9.952829925674997</x:v>
      </x:c>
      <x:c r="F43" s="36" t="n">
        <x:f>MIN('Subcriterion marks'!AQ6:AQ22)</x:f>
        <x:v>49</x:v>
      </x:c>
      <x:c r="G43" s="36" t="n">
        <x:f>MAX('Subcriterion marks'!AQ6:AQ22)</x:f>
        <x:v>82</x:v>
      </x:c>
      <x:c r="H43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4B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9" hidden="0" customWidth="1"/>
    <x:col min="3" max="3" width="14" hidden="0" customWidth="1"/>
    <x:col min="4" max="4" width="14" hidden="0" customWidth="1"/>
    <x:col min="5" max="5" width="11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Evidence audit and preserved Stage 1 codes</x:v>
      </x:c>
      <x:c r="B2" s="2"/>
      <x:c r="C2" s="2"/>
      <x:c r="D2" s="2"/>
      <x:c r="E2" s="2"/>
    </x:row>
    <x:row r="3" ht="25" customHeight="1">
      <x:c r="A3" s="2" t="str">
        <x:v>493 judgements. Percentages link to Subcriterion marks; Stage 1 codes are preserved as assessed. Rationales describe this reviewed version.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46" customHeight="1">
      <x:c r="A5" s="7" t="str">
        <x:v>Participant ID</x:v>
      </x:c>
      <x:c r="B5" s="7" t="str">
        <x:v>Code</x:v>
      </x:c>
      <x:c r="C5" s="7" t="str">
        <x:v>Stage 1 code</x:v>
      </x:c>
      <x:c r="D5" s="7" t="str">
        <x:v>Percentage mark</x:v>
      </x:c>
      <x:c r="E5" s="7" t="str">
        <x:v>Evidence and rationale</x:v>
      </x:c>
    </x:row>
    <x:row r="6" ht="62" customHeight="1">
      <x:c r="A6" s="2" t="str">
        <x:v>Participant_555059_assignsubmission_file</x:v>
      </x:c>
      <x:c r="B6" s="2" t="str">
        <x:v>C1A</x:v>
      </x:c>
      <x:c r="C6" s="23" t="n">
        <x:v>1</x:v>
      </x:c>
      <x:c r="D6" s="25" t="n">
        <x:f>'Subcriterion marks'!B6</x:f>
        <x:v>75</x:v>
      </x:c>
      <x:c r="E6" s="4" t="str">
        <x:v>Methods explains purposeful argument analysis, qualifiers and bias control.</x:v>
      </x:c>
    </x:row>
    <x:row r="7" ht="62" customHeight="1">
      <x:c r="A7" s="8" t="str">
        <x:v>Participant_555059_assignsubmission_file</x:v>
      </x:c>
      <x:c r="B7" s="8" t="str">
        <x:v>C1B</x:v>
      </x:c>
      <x:c r="C7" s="24" t="n">
        <x:v>1</x:v>
      </x:c>
      <x:c r="D7" s="26" t="n">
        <x:f>'Subcriterion marks'!C6</x:f>
        <x:v>75</x:v>
      </x:c>
      <x:c r="E7" s="22" t="str">
        <x:v>Halpern and Dunn informs memory and open-minded evaluation.</x:v>
      </x:c>
    </x:row>
    <x:row r="8" ht="62" customHeight="1">
      <x:c r="A8" s="2" t="str">
        <x:v>Participant_555059_assignsubmission_file</x:v>
      </x:c>
      <x:c r="B8" s="2" t="str">
        <x:v>C1C</x:v>
      </x:c>
      <x:c r="C8" s="23" t="n">
        <x:v>1</x:v>
      </x:c>
      <x:c r="D8" s="25" t="n">
        <x:f>'Subcriterion marks'!D6</x:f>
        <x:v>75</x:v>
      </x:c>
      <x:c r="E8" s="4" t="str">
        <x:v>claim, grounds, assumptions and counterarguments are connected.</x:v>
      </x:c>
    </x:row>
    <x:row r="9" ht="62" customHeight="1">
      <x:c r="A9" s="8" t="str">
        <x:v>Participant_555059_assignsubmission_file</x:v>
      </x:c>
      <x:c r="B9" s="8" t="str">
        <x:v>C1D</x:v>
      </x:c>
      <x:c r="C9" s="24" t="n">
        <x:v>0</x:v>
      </x:c>
      <x:c r="D9" s="26" t="n">
        <x:f>'Subcriterion marks'!E6</x:f>
        <x:v>0</x:v>
      </x:c>
      <x:c r="E9" s="22" t="str">
        <x:v>no explicit principal inference type.</x:v>
      </x:c>
    </x:row>
    <x:row r="10" ht="62" customHeight="1">
      <x:c r="A10" s="2" t="str">
        <x:v>Participant_555059_assignsubmission_file</x:v>
      </x:c>
      <x:c r="B10" s="2" t="str">
        <x:v>C1E</x:v>
      </x:c>
      <x:c r="C10" s="23" t="n">
        <x:v>1</x:v>
      </x:c>
      <x:c r="D10" s="25" t="n">
        <x:f>'Subcriterion marks'!F6</x:f>
        <x:v>70</x:v>
      </x:c>
      <x:c r="E10" s="4" t="str">
        <x:v>emergency remote teaching and learning outcomes are clarified, with some technical terms left implicit.</x:v>
      </x:c>
    </x:row>
    <x:row r="11" ht="62" customHeight="1">
      <x:c r="A11" s="8" t="str">
        <x:v>Participant_555059_assignsubmission_file</x:v>
      </x:c>
      <x:c r="B11" s="8" t="str">
        <x:v>C2A</x:v>
      </x:c>
      <x:c r="C11" s="24" t="n">
        <x:v>1</x:v>
      </x:c>
      <x:c r="D11" s="26" t="n">
        <x:f>'Subcriterion marks'!G6</x:f>
        <x:v>75</x:v>
      </x:c>
      <x:c r="E11" s="22" t="str">
        <x:v>the conditional learner/task/design thesis structures the blog.</x:v>
      </x:c>
    </x:row>
    <x:row r="12" ht="62" customHeight="1">
      <x:c r="A12" s="2" t="str">
        <x:v>Participant_555059_assignsubmission_file</x:v>
      </x:c>
      <x:c r="B12" s="2" t="str">
        <x:v>C2B</x:v>
      </x:c>
      <x:c r="C12" s="23" t="n">
        <x:v>1</x:v>
      </x:c>
      <x:c r="D12" s="25" t="n">
        <x:f>'Subcriterion marks'!H6</x:f>
        <x:v>70</x:v>
      </x:c>
      <x:c r="E12" s="4" t="str">
        <x:v>contrasts lockdown self-reports with intentionally designed learning and interprets a heterogeneous synthesis, but does not closely evaluate study quality.</x:v>
      </x:c>
    </x:row>
    <x:row r="13" ht="62" customHeight="1">
      <x:c r="A13" s="8" t="str">
        <x:v>Participant_555059_assignsubmission_file</x:v>
      </x:c>
      <x:c r="B13" s="8" t="str">
        <x:v>C2C</x:v>
      </x:c>
      <x:c r="C13" s="24" t="n">
        <x:v>1</x:v>
      </x:c>
      <x:c r="D13" s="26" t="n">
        <x:f>'Subcriterion marks'!I6</x:f>
        <x:v>75</x:v>
      </x:c>
      <x:c r="E13" s="22" t="str">
        <x:v>resists universal inferences and separates achievement from education overall.</x:v>
      </x:c>
    </x:row>
    <x:row r="14" ht="62" customHeight="1">
      <x:c r="A14" s="2" t="str">
        <x:v>Participant_555059_assignsubmission_file</x:v>
      </x:c>
      <x:c r="B14" s="2" t="str">
        <x:v>C2D</x:v>
      </x:c>
      <x:c r="C14" s="23" t="n">
        <x:v>1</x:v>
      </x:c>
      <x:c r="D14" s="25" t="n">
        <x:f>'Subcriterion marks'!J6</x:f>
        <x:v>75</x:v>
      </x:c>
      <x:c r="E14" s="4" t="str">
        <x:v>subject, population and context limits are explicit.</x:v>
      </x:c>
    </x:row>
    <x:row r="15" ht="62" customHeight="1">
      <x:c r="A15" s="8" t="str">
        <x:v>Participant_555059_assignsubmission_file</x:v>
      </x:c>
      <x:c r="B15" s="8" t="str">
        <x:v>C2E</x:v>
      </x:c>
      <x:c r="C15" s="24" t="n">
        <x:v>1</x:v>
      </x:c>
      <x:c r="D15" s="26" t="n">
        <x:f>'Subcriterion marks'!K6</x:f>
        <x:v>70</x:v>
      </x:c>
      <x:c r="E15" s="22" t="str">
        <x:v>classroom benefits and blended alternatives receive reasoned concessions.</x:v>
      </x:c>
    </x:row>
    <x:row r="16" ht="62" customHeight="1">
      <x:c r="A16" s="2" t="str">
        <x:v>Participant_555059_assignsubmission_file</x:v>
      </x:c>
      <x:c r="B16" s="2" t="str">
        <x:v>C2F</x:v>
      </x:c>
      <x:c r="C16" s="23" t="n">
        <x:v>1</x:v>
      </x:c>
      <x:c r="D16" s="25" t="n">
        <x:f>'Subcriterion marks'!L6</x:f>
        <x:v>75</x:v>
      </x:c>
      <x:c r="E16" s="4" t="str">
        <x:v>myside bias, anecdotal generalisation and false dichotomy are applied to the debate.</x:v>
      </x:c>
    </x:row>
    <x:row r="17" ht="62" customHeight="1">
      <x:c r="A17" s="8" t="str">
        <x:v>Participant_555059_assignsubmission_file</x:v>
      </x:c>
      <x:c r="B17" s="8" t="str">
        <x:v>C3A</x:v>
      </x:c>
      <x:c r="C17" s="24" t="n">
        <x:v>1</x:v>
      </x:c>
      <x:c r="D17" s="26" t="n">
        <x:f>'Subcriterion marks'!M6</x:f>
        <x:v>75</x:v>
      </x:c>
      <x:c r="E17" s="22" t="str">
        <x:v>Toulmin shapes the argument and is explained in Methods.</x:v>
      </x:c>
    </x:row>
    <x:row r="18" ht="62" customHeight="1">
      <x:c r="A18" s="2" t="str">
        <x:v>Participant_555059_assignsubmission_file</x:v>
      </x:c>
      <x:c r="B18" s="2" t="str">
        <x:v>C3B</x:v>
      </x:c>
      <x:c r="C18" s="23" t="n">
        <x:v>1</x:v>
      </x:c>
      <x:c r="D18" s="25" t="n">
        <x:f>'Subcriterion marks'!N6</x:f>
        <x:v>65</x:v>
      </x:c>
      <x:c r="E18" s="4" t="str">
        <x:v>two-sided presentation and credible evidence are explained, but persuasion theory is less developed than argument analysis.</x:v>
      </x:c>
    </x:row>
    <x:row r="19" ht="62" customHeight="1">
      <x:c r="A19" s="8" t="str">
        <x:v>Participant_555059_assignsubmission_file</x:v>
      </x:c>
      <x:c r="B19" s="8" t="str">
        <x:v>C3C</x:v>
      </x:c>
      <x:c r="C19" s="24" t="n">
        <x:v>1</x:v>
      </x:c>
      <x:c r="D19" s="26" t="n">
        <x:f>'Subcriterion marks'!O6</x:f>
        <x:v>75</x:v>
      </x:c>
      <x:c r="E19" s="22" t="str">
        <x:v>claims remain qualified and fairly represented.</x:v>
      </x:c>
    </x:row>
    <x:row r="20" ht="62" customHeight="1">
      <x:c r="A20" s="2" t="str">
        <x:v>Participant_555059_assignsubmission_file</x:v>
      </x:c>
      <x:c r="B20" s="2" t="str">
        <x:v>C3D</x:v>
      </x:c>
      <x:c r="C20" s="23" t="n">
        <x:v>1</x:v>
      </x:c>
      <x:c r="D20" s="25" t="n">
        <x:f>'Subcriterion marks'!P6</x:f>
        <x:v>75</x:v>
      </x:c>
      <x:c r="E20" s="4" t="str">
        <x:v>engaging public-facing title, questions and voice.</x:v>
      </x:c>
    </x:row>
    <x:row r="21" ht="62" customHeight="1">
      <x:c r="A21" s="8" t="str">
        <x:v>Participant_555059_assignsubmission_file</x:v>
      </x:c>
      <x:c r="B21" s="8" t="str">
        <x:v>C3E</x:v>
      </x:c>
      <x:c r="C21" s="24" t="n">
        <x:v>1</x:v>
      </x:c>
      <x:c r="D21" s="26" t="n">
        <x:f>'Subcriterion marks'!Q6</x:f>
        <x:v>75</x:v>
      </x:c>
      <x:c r="E21" s="22" t="str">
        <x:v>clear, relevant communication without a major misleading implication.</x:v>
      </x:c>
    </x:row>
    <x:row r="22" ht="62" customHeight="1">
      <x:c r="A22" s="2" t="str">
        <x:v>Participant_555059_assignsubmission_file</x:v>
      </x:c>
      <x:c r="B22" s="2" t="str">
        <x:v>C4A</x:v>
      </x:c>
      <x:c r="C22" s="23" t="n">
        <x:v>1</x:v>
      </x:c>
      <x:c r="D22" s="25" t="n">
        <x:f>'Subcriterion marks'!R6</x:f>
        <x:v>70</x:v>
      </x:c>
      <x:c r="E22" s="4" t="str">
        <x:v>readable, with some repeated question/conclusion phrases.</x:v>
      </x:c>
    </x:row>
    <x:row r="23" ht="62" customHeight="1">
      <x:c r="A23" s="8" t="str">
        <x:v>Participant_555059_assignsubmission_file</x:v>
      </x:c>
      <x:c r="B23" s="8" t="str">
        <x:v>C4B</x:v>
      </x:c>
      <x:c r="C23" s="24" t="n">
        <x:v>1</x:v>
      </x:c>
      <x:c r="D23" s="26" t="n">
        <x:f>'Subcriterion marks'!S6</x:f>
        <x:v>75</x:v>
      </x:c>
      <x:c r="E23" s="22" t="str">
        <x:v>coherent progression from benefits to limitations and synthesis.</x:v>
      </x:c>
    </x:row>
    <x:row r="24" ht="62" customHeight="1">
      <x:c r="A24" s="2" t="str">
        <x:v>Participant_555059_assignsubmission_file</x:v>
      </x:c>
      <x:c r="B24" s="2" t="str">
        <x:v>C4C</x:v>
      </x:c>
      <x:c r="C24" s="23" t="n">
        <x:v>1</x:v>
      </x:c>
      <x:c r="D24" s="25" t="n">
        <x:f>'Subcriterion marks'!T6</x:f>
        <x:v>75</x:v>
      </x:c>
      <x:c r="E24" s="4" t="str">
        <x:v>opening and conclusion share a clear qualified thesis.</x:v>
      </x:c>
    </x:row>
    <x:row r="25" ht="62" customHeight="1">
      <x:c r="A25" s="8" t="str">
        <x:v>Participant_555059_assignsubmission_file</x:v>
      </x:c>
      <x:c r="B25" s="8" t="str">
        <x:v>C4D</x:v>
      </x:c>
      <x:c r="C25" s="24" t="n">
        <x:v>1</x:v>
      </x:c>
      <x:c r="D25" s="26" t="n">
        <x:f>'Subcriterion marks'!U6</x:f>
        <x:v>70</x:v>
      </x:c>
      <x:c r="E25" s="22" t="str">
        <x:v>practical course and learner examples clarify abstract points.</x:v>
      </x:c>
    </x:row>
    <x:row r="26" ht="62" customHeight="1">
      <x:c r="A26" s="2" t="str">
        <x:v>Participant_555059_assignsubmission_file</x:v>
      </x:c>
      <x:c r="B26" s="2" t="str">
        <x:v>C4E</x:v>
      </x:c>
      <x:c r="C26" s="23" t="n">
        <x:v>1</x:v>
      </x:c>
      <x:c r="D26" s="25" t="n">
        <x:f>'Subcriterion marks'!V6</x:f>
        <x:v>75</x:v>
      </x:c>
      <x:c r="E26" s="4" t="str">
        <x:v>consistently readable British English.</x:v>
      </x:c>
    </x:row>
    <x:row r="27" ht="62" customHeight="1">
      <x:c r="A27" s="8" t="str">
        <x:v>Participant_555059_assignsubmission_file</x:v>
      </x:c>
      <x:c r="B27" s="8" t="str">
        <x:v>C4F</x:v>
      </x:c>
      <x:c r="C27" s="24" t="n">
        <x:v>1</x:v>
      </x:c>
      <x:c r="D27" s="26" t="n">
        <x:f>'Subcriterion marks'!W6</x:f>
        <x:v>70</x:v>
      </x:c>
      <x:c r="E27" s="22" t="str">
        <x:v>visible author-date and reference details are largely accurate; original typography remains unverified.</x:v>
      </x:c>
    </x:row>
    <x:row r="28" ht="62" customHeight="1">
      <x:c r="A28" s="2" t="str">
        <x:v>Participant_555059_assignsubmission_file</x:v>
      </x:c>
      <x:c r="B28" s="2" t="str">
        <x:v>C4G</x:v>
      </x:c>
      <x:c r="C28" s="23" t="n">
        <x:v>1</x:v>
      </x:c>
      <x:c r="D28" s="25" t="n">
        <x:f>'Subcriterion marks'!X6</x:f>
        <x:v>75</x:v>
      </x:c>
      <x:c r="E28" s="4" t="str">
        <x:v>approximately 1,586 blog words and one Methods paragraph in the required order.</x:v>
      </x:c>
    </x:row>
    <x:row r="29" ht="62" customHeight="1">
      <x:c r="A29" s="8" t="str">
        <x:v>Participant_555059_assignsubmission_file</x:v>
      </x:c>
      <x:c r="B29" s="8" t="str">
        <x:v>C5A</x:v>
      </x:c>
      <x:c r="C29" s="24" t="n">
        <x:v>1</x:v>
      </x:c>
      <x:c r="D29" s="26" t="n">
        <x:f>'Subcriterion marks'!Y6</x:f>
        <x:v>65</x:v>
      </x:c>
      <x:c r="E29" s="22" t="str">
        <x:v>ten substantive sources meet the range requirement, though breadth is not exceptional.</x:v>
      </x:c>
    </x:row>
    <x:row r="30" ht="62" customHeight="1">
      <x:c r="A30" s="2" t="str">
        <x:v>Participant_555059_assignsubmission_file</x:v>
      </x:c>
      <x:c r="B30" s="2" t="str">
        <x:v>C5B</x:v>
      </x:c>
      <x:c r="C30" s="23" t="n">
        <x:v>1</x:v>
      </x:c>
      <x:c r="D30" s="25" t="n">
        <x:f>'Subcriterion marks'!Z6</x:f>
        <x:v>75</x:v>
      </x:c>
      <x:c r="E30" s="4" t="str">
        <x:v>predominantly scholarly research and core theory.</x:v>
      </x:c>
    </x:row>
    <x:row r="31" ht="62" customHeight="1">
      <x:c r="A31" s="8" t="str">
        <x:v>Participant_555059_assignsubmission_file</x:v>
      </x:c>
      <x:c r="B31" s="8" t="str">
        <x:v>C5C</x:v>
      </x:c>
      <x:c r="C31" s="24" t="n">
        <x:v>1</x:v>
      </x:c>
      <x:c r="D31" s="26" t="n">
        <x:f>'Subcriterion marks'!AA6</x:f>
        <x:v>70</x:v>
      </x:c>
      <x:c r="E31" s="22" t="str">
        <x:v>recent education evidence with relevant earlier theory.</x:v>
      </x:c>
    </x:row>
    <x:row r="32" ht="62" customHeight="1">
      <x:c r="A32" s="2" t="str">
        <x:v>Participant_555059_assignsubmission_file</x:v>
      </x:c>
      <x:c r="B32" s="2" t="str">
        <x:v>C5D</x:v>
      </x:c>
      <x:c r="C32" s="23" t="n">
        <x:v>1</x:v>
      </x:c>
      <x:c r="D32" s="25" t="n">
        <x:f>'Subcriterion marks'!AB6</x:f>
        <x:v>70</x:v>
      </x:c>
      <x:c r="E32" s="4" t="str">
        <x:v>several direct empirical studies complement reviews.</x:v>
      </x:c>
    </x:row>
    <x:row r="33" ht="62" customHeight="1">
      <x:c r="A33" s="8" t="str">
        <x:v>Participant_555059_assignsubmission_file</x:v>
      </x:c>
      <x:c r="B33" s="8" t="str">
        <x:v>C5E</x:v>
      </x:c>
      <x:c r="C33" s="24" t="n">
        <x:v>1</x:v>
      </x:c>
      <x:c r="D33" s="26" t="n">
        <x:f>'Subcriterion marks'!AC6</x:f>
        <x:v>75</x:v>
      </x:c>
      <x:c r="E33" s="22" t="str">
        <x:v>meta-analysis and systematic review are substantively used.</x:v>
      </x:c>
    </x:row>
    <x:row r="34" ht="62" customHeight="1">
      <x:c r="A34" s="2" t="str">
        <x:v>Participant_555059_assignsubmission_file</x:v>
      </x:c>
      <x:c r="B34" s="2" t="str">
        <x:v>C5F</x:v>
      </x:c>
      <x:c r="C34" s="23" t="n">
        <x:v>1</x:v>
      </x:c>
      <x:c r="D34" s="25" t="n">
        <x:f>'Subcriterion marks'!AD6</x:f>
        <x:v>75</x:v>
      </x:c>
      <x:c r="E34" s="4" t="str">
        <x:v>findings are compared and integrated around context and outcome differences.</x:v>
      </x:c>
    </x:row>
    <x:row r="35" ht="62" customHeight="1">
      <x:c r="A35" s="8" t="str">
        <x:v>Participant_555060_assignsubmission_file</x:v>
      </x:c>
      <x:c r="B35" s="8" t="str">
        <x:v>C1A</x:v>
      </x:c>
      <x:c r="C35" s="24" t="n">
        <x:v>0.5</x:v>
      </x:c>
      <x:c r="D35" s="26" t="n">
        <x:f>'Subcriterion marks'!B7</x:f>
        <x:v>50</x:v>
      </x:c>
      <x:c r="E35" s="22" t="str">
        <x:v>Methods explains generic comparison and questioning but gives little developed theoretical account.</x:v>
      </x:c>
    </x:row>
    <x:row r="36" ht="62" customHeight="1">
      <x:c r="A36" s="2" t="str">
        <x:v>Participant_555060_assignsubmission_file</x:v>
      </x:c>
      <x:c r="B36" s="2" t="str">
        <x:v>C1B</x:v>
      </x:c>
      <x:c r="C36" s="23" t="n">
        <x:v>0</x:v>
      </x:c>
      <x:c r="D36" s="25" t="n">
        <x:f>'Subcriterion marks'!C7</x:f>
        <x:v>0</x:v>
      </x:c>
      <x:c r="E36" s="4" t="str">
        <x:v>designated core text absent.</x:v>
      </x:c>
    </x:row>
    <x:row r="37" ht="62" customHeight="1">
      <x:c r="A37" s="8" t="str">
        <x:v>Participant_555060_assignsubmission_file</x:v>
      </x:c>
      <x:c r="B37" s="8" t="str">
        <x:v>C1C</x:v>
      </x:c>
      <x:c r="C37" s="24" t="n">
        <x:v>0.5</x:v>
      </x:c>
      <x:c r="D37" s="26" t="n">
        <x:f>'Subcriterion marks'!D7</x:f>
        <x:v>55</x:v>
      </x:c>
      <x:c r="E37" s="22" t="str">
        <x:v>clear position, supporting reasons and qualifications, but warrants remain implicit.</x:v>
      </x:c>
    </x:row>
    <x:row r="38" ht="62" customHeight="1">
      <x:c r="A38" s="2" t="str">
        <x:v>Participant_555060_assignsubmission_file</x:v>
      </x:c>
      <x:c r="B38" s="2" t="str">
        <x:v>C1D</x:v>
      </x:c>
      <x:c r="C38" s="23" t="n">
        <x:v>0</x:v>
      </x:c>
      <x:c r="D38" s="25" t="n">
        <x:f>'Subcriterion marks'!E7</x:f>
        <x:v>0</x:v>
      </x:c>
      <x:c r="E38" s="4" t="str">
        <x:v>no reasoning type or its certainty implications identified.</x:v>
      </x:c>
    </x:row>
    <x:row r="39" ht="62" customHeight="1">
      <x:c r="A39" s="8" t="str">
        <x:v>Participant_555060_assignsubmission_file</x:v>
      </x:c>
      <x:c r="B39" s="8" t="str">
        <x:v>C1E</x:v>
      </x:c>
      <x:c r="C39" s="24" t="n">
        <x:v>1</x:v>
      </x:c>
      <x:c r="D39" s="26" t="n">
        <x:f>'Subcriterion marks'!F7</x:f>
        <x:v>65</x:v>
      </x:c>
      <x:c r="E39" s="22" t="str">
        <x:v>the distinction between task performance and learning is explained accurately.</x:v>
      </x:c>
    </x:row>
    <x:row r="40" ht="62" customHeight="1">
      <x:c r="A40" s="2" t="str">
        <x:v>Participant_555060_assignsubmission_file</x:v>
      </x:c>
      <x:c r="B40" s="2" t="str">
        <x:v>C2A</x:v>
      </x:c>
      <x:c r="C40" s="23" t="n">
        <x:v>1</x:v>
      </x:c>
      <x:c r="D40" s="25" t="n">
        <x:f>'Subcriterion marks'!G7</x:f>
        <x:v>70</x:v>
      </x:c>
      <x:c r="E40" s="4" t="str">
        <x:v>consistent conditional integration thesis.</x:v>
      </x:c>
    </x:row>
    <x:row r="41" ht="62" customHeight="1">
      <x:c r="A41" s="8" t="str">
        <x:v>Participant_555060_assignsubmission_file</x:v>
      </x:c>
      <x:c r="B41" s="8" t="str">
        <x:v>C2B</x:v>
      </x:c>
      <x:c r="C41" s="24" t="n">
        <x:v>0.5</x:v>
      </x:c>
      <x:c r="D41" s="26" t="n">
        <x:f>'Subcriterion marks'!H7</x:f>
        <x:v>55</x:v>
      </x:c>
      <x:c r="E41" s="22" t="str">
        <x:v>credible reviews and policy reports support claims, without a developed comparison of evidential quality.</x:v>
      </x:c>
    </x:row>
    <x:row r="42" ht="62" customHeight="1">
      <x:c r="A42" s="2" t="str">
        <x:v>Participant_555060_assignsubmission_file</x:v>
      </x:c>
      <x:c r="B42" s="2" t="str">
        <x:v>C2C</x:v>
      </x:c>
      <x:c r="C42" s="23" t="n">
        <x:v>0.5</x:v>
      </x:c>
      <x:c r="D42" s="25" t="n">
        <x:f>'Subcriterion marks'!I7</x:f>
        <x:v>55</x:v>
      </x:c>
      <x:c r="E42" s="4" t="str">
        <x:v>performance versus learning is recognised but causal explanations and null metacognitive results are not closely evaluated.</x:v>
      </x:c>
    </x:row>
    <x:row r="43" ht="62" customHeight="1">
      <x:c r="A43" s="8" t="str">
        <x:v>Participant_555060_assignsubmission_file</x:v>
      </x:c>
      <x:c r="B43" s="8" t="str">
        <x:v>C2D</x:v>
      </x:c>
      <x:c r="C43" s="24" t="n">
        <x:v>0.5</x:v>
      </x:c>
      <x:c r="D43" s="26" t="n">
        <x:f>'Subcriterion marks'!J7</x:f>
        <x:v>50</x:v>
      </x:c>
      <x:c r="E43" s="22" t="str">
        <x:v>context dependence is stated rather than developed through study limitations.</x:v>
      </x:c>
    </x:row>
    <x:row r="44" ht="62" customHeight="1">
      <x:c r="A44" s="2" t="str">
        <x:v>Participant_555060_assignsubmission_file</x:v>
      </x:c>
      <x:c r="B44" s="2" t="str">
        <x:v>C2E</x:v>
      </x:c>
      <x:c r="C44" s="23" t="n">
        <x:v>1</x:v>
      </x:c>
      <x:c r="D44" s="25" t="n">
        <x:f>'Subcriterion marks'!K7</x:f>
        <x:v>65</x:v>
      </x:c>
      <x:c r="E44" s="4" t="str">
        <x:v>dependency and privacy objections inform the recommendations.</x:v>
      </x:c>
    </x:row>
    <x:row r="45" ht="62" customHeight="1">
      <x:c r="A45" s="8" t="str">
        <x:v>Participant_555060_assignsubmission_file</x:v>
      </x:c>
      <x:c r="B45" s="8" t="str">
        <x:v>C2F</x:v>
      </x:c>
      <x:c r="C45" s="24" t="n">
        <x:v>1</x:v>
      </x:c>
      <x:c r="D45" s="26" t="n">
        <x:f>'Subcriterion marks'!L7</x:f>
        <x:v>65</x:v>
      </x:c>
      <x:c r="E45" s="22" t="str">
        <x:v>rejects technological novelty and all-or-nothing reasoning, though bias analysis is limited.</x:v>
      </x:c>
    </x:row>
    <x:row r="46" ht="62" customHeight="1">
      <x:c r="A46" s="2" t="str">
        <x:v>Participant_555060_assignsubmission_file</x:v>
      </x:c>
      <x:c r="B46" s="2" t="str">
        <x:v>C3A</x:v>
      </x:c>
      <x:c r="C46" s="23" t="n">
        <x:v>0.5</x:v>
      </x:c>
      <x:c r="D46" s="25" t="n">
        <x:f>'Subcriterion marks'!M7</x:f>
        <x:v>50</x:v>
      </x:c>
      <x:c r="E46" s="4" t="str">
        <x:v>generic argument analysis rather than a developed evidence-based framework.</x:v>
      </x:c>
    </x:row>
    <x:row r="47" ht="62" customHeight="1">
      <x:c r="A47" s="8" t="str">
        <x:v>Participant_555060_assignsubmission_file</x:v>
      </x:c>
      <x:c r="B47" s="8" t="str">
        <x:v>C3B</x:v>
      </x:c>
      <x:c r="C47" s="24" t="n">
        <x:v>0.5</x:v>
      </x:c>
      <x:c r="D47" s="26" t="n">
        <x:f>'Subcriterion marks'!N7</x:f>
        <x:v>50</x:v>
      </x:c>
      <x:c r="E47" s="22" t="str">
        <x:v>persuasive examples and balanced presentation are visible, but Methods explains few persuasion techniques.</x:v>
      </x:c>
    </x:row>
    <x:row r="48" ht="62" customHeight="1">
      <x:c r="A48" s="2" t="str">
        <x:v>Participant_555060_assignsubmission_file</x:v>
      </x:c>
      <x:c r="B48" s="2" t="str">
        <x:v>C3C</x:v>
      </x:c>
      <x:c r="C48" s="23" t="n">
        <x:v>1</x:v>
      </x:c>
      <x:c r="D48" s="25" t="n">
        <x:f>'Subcriterion marks'!O7</x:f>
        <x:v>65</x:v>
      </x:c>
      <x:c r="E48" s="4" t="str">
        <x:v>predominantly fair, qualified persuasion.</x:v>
      </x:c>
    </x:row>
    <x:row r="49" ht="62" customHeight="1">
      <x:c r="A49" s="8" t="str">
        <x:v>Participant_555060_assignsubmission_file</x:v>
      </x:c>
      <x:c r="B49" s="8" t="str">
        <x:v>C3D</x:v>
      </x:c>
      <x:c r="C49" s="24" t="n">
        <x:v>1</x:v>
      </x:c>
      <x:c r="D49" s="26" t="n">
        <x:f>'Subcriterion marks'!P7</x:f>
        <x:v>70</x:v>
      </x:c>
      <x:c r="E49" s="22" t="str">
        <x:v>accessible title, subheadings and direct examples.</x:v>
      </x:c>
    </x:row>
    <x:row r="50" ht="62" customHeight="1">
      <x:c r="A50" s="2" t="str">
        <x:v>Participant_555060_assignsubmission_file</x:v>
      </x:c>
      <x:c r="B50" s="2" t="str">
        <x:v>C3E</x:v>
      </x:c>
      <x:c r="C50" s="23" t="n">
        <x:v>1</x:v>
      </x:c>
      <x:c r="D50" s="25" t="n">
        <x:f>'Subcriterion marks'!Q7</x:f>
        <x:v>65</x:v>
      </x:c>
      <x:c r="E50" s="4" t="str">
        <x:v>relevant and understandable, with occasional overstatement about weakened thinking.</x:v>
      </x:c>
    </x:row>
    <x:row r="51" ht="62" customHeight="1">
      <x:c r="A51" s="8" t="str">
        <x:v>Participant_555060_assignsubmission_file</x:v>
      </x:c>
      <x:c r="B51" s="8" t="str">
        <x:v>C4A</x:v>
      </x:c>
      <x:c r="C51" s="24" t="n">
        <x:v>1</x:v>
      </x:c>
      <x:c r="D51" s="26" t="n">
        <x:f>'Subcriterion marks'!R7</x:f>
        <x:v>65</x:v>
      </x:c>
      <x:c r="E51" s="22" t="str">
        <x:v>accessible but repetitive in places.</x:v>
      </x:c>
    </x:row>
    <x:row r="52" ht="62" customHeight="1">
      <x:c r="A52" s="2" t="str">
        <x:v>Participant_555060_assignsubmission_file</x:v>
      </x:c>
      <x:c r="B52" s="2" t="str">
        <x:v>C4B</x:v>
      </x:c>
      <x:c r="C52" s="23" t="n">
        <x:v>1</x:v>
      </x:c>
      <x:c r="D52" s="25" t="n">
        <x:f>'Subcriterion marks'!S7</x:f>
        <x:v>70</x:v>
      </x:c>
      <x:c r="E52" s="4" t="str">
        <x:v>organised benefits, risks and policy response.</x:v>
      </x:c>
    </x:row>
    <x:row r="53" ht="62" customHeight="1">
      <x:c r="A53" s="8" t="str">
        <x:v>Participant_555060_assignsubmission_file</x:v>
      </x:c>
      <x:c r="B53" s="8" t="str">
        <x:v>C4C</x:v>
      </x:c>
      <x:c r="C53" s="24" t="n">
        <x:v>1</x:v>
      </x:c>
      <x:c r="D53" s="26" t="n">
        <x:f>'Subcriterion marks'!T7</x:f>
        <x:v>70</x:v>
      </x:c>
      <x:c r="E53" s="22" t="str">
        <x:v>clear introduction and synthesising conclusion.</x:v>
      </x:c>
    </x:row>
    <x:row r="54" ht="62" customHeight="1">
      <x:c r="A54" s="2" t="str">
        <x:v>Participant_555060_assignsubmission_file</x:v>
      </x:c>
      <x:c r="B54" s="2" t="str">
        <x:v>C4D</x:v>
      </x:c>
      <x:c r="C54" s="23" t="n">
        <x:v>1</x:v>
      </x:c>
      <x:c r="D54" s="25" t="n">
        <x:f>'Subcriterion marks'!U7</x:f>
        <x:v>70</x:v>
      </x:c>
      <x:c r="E54" s="4" t="str">
        <x:v>photosynthesis and assessment scenarios clarify the argument.</x:v>
      </x:c>
    </x:row>
    <x:row r="55" ht="62" customHeight="1">
      <x:c r="A55" s="8" t="str">
        <x:v>Participant_555060_assignsubmission_file</x:v>
      </x:c>
      <x:c r="B55" s="8" t="str">
        <x:v>C4E</x:v>
      </x:c>
      <x:c r="C55" s="24" t="n">
        <x:v>1</x:v>
      </x:c>
      <x:c r="D55" s="26" t="n">
        <x:f>'Subcriterion marks'!V7</x:f>
        <x:v>65</x:v>
      </x:c>
      <x:c r="E55" s="22" t="str">
        <x:v>an isolated malformed sentence and punctuation lapses reduce polish without persistent loss of clarity.</x:v>
      </x:c>
    </x:row>
    <x:row r="56" ht="62" customHeight="1">
      <x:c r="A56" s="2" t="str">
        <x:v>Participant_555060_assignsubmission_file</x:v>
      </x:c>
      <x:c r="B56" s="2" t="str">
        <x:v>C4F</x:v>
      </x:c>
      <x:c r="C56" s="23" t="n">
        <x:v>1</x:v>
      </x:c>
      <x:c r="D56" s="25" t="n">
        <x:f>'Subcriterion marks'!W7</x:f>
        <x:v>70</x:v>
      </x:c>
      <x:c r="E56" s="4" t="str">
        <x:v>visible citations and four references are consistent.</x:v>
      </x:c>
    </x:row>
    <x:row r="57" ht="62" customHeight="1">
      <x:c r="A57" s="8" t="str">
        <x:v>Participant_555060_assignsubmission_file</x:v>
      </x:c>
      <x:c r="B57" s="8" t="str">
        <x:v>C4G</x:v>
      </x:c>
      <x:c r="C57" s="24" t="n">
        <x:v>1</x:v>
      </x:c>
      <x:c r="D57" s="26" t="n">
        <x:f>'Subcriterion marks'!X7</x:f>
        <x:v>75</x:v>
      </x:c>
      <x:c r="E57" s="22" t="str">
        <x:v>approximately 1,650 words including headings, with correct sequence and one Methods paragraph.</x:v>
      </x:c>
    </x:row>
    <x:row r="58" ht="62" customHeight="1">
      <x:c r="A58" s="2" t="str">
        <x:v>Participant_555060_assignsubmission_file</x:v>
      </x:c>
      <x:c r="B58" s="2" t="str">
        <x:v>C5A</x:v>
      </x:c>
      <x:c r="C58" s="23" t="n">
        <x:v>0</x:v>
      </x:c>
      <x:c r="D58" s="25" t="n">
        <x:f>'Subcriterion marks'!Y7</x:f>
        <x:v>40</x:v>
      </x:c>
      <x:c r="E58" s="4" t="str">
        <x:v>four relevant sources are a narrow reading range, not no reading.</x:v>
      </x:c>
    </x:row>
    <x:row r="59" ht="62" customHeight="1">
      <x:c r="A59" s="8" t="str">
        <x:v>Participant_555060_assignsubmission_file</x:v>
      </x:c>
      <x:c r="B59" s="8" t="str">
        <x:v>C5B</x:v>
      </x:c>
      <x:c r="C59" s="24" t="n">
        <x:v>1</x:v>
      </x:c>
      <x:c r="D59" s="26" t="n">
        <x:f>'Subcriterion marks'!Z7</x:f>
        <x:v>70</x:v>
      </x:c>
      <x:c r="E59" s="22" t="str">
        <x:v>credible scholarly syntheses and authoritative reports.</x:v>
      </x:c>
    </x:row>
    <x:row r="60" ht="62" customHeight="1">
      <x:c r="A60" s="2" t="str">
        <x:v>Participant_555060_assignsubmission_file</x:v>
      </x:c>
      <x:c r="B60" s="2" t="str">
        <x:v>C5C</x:v>
      </x:c>
      <x:c r="C60" s="23" t="n">
        <x:v>0.5</x:v>
      </x:c>
      <x:c r="D60" s="25" t="n">
        <x:f>'Subcriterion marks'!AA7</x:f>
        <x:v>50</x:v>
      </x:c>
      <x:c r="E60" s="4" t="str">
        <x:v>current topic sources but little theoretical/foundational literature.</x:v>
      </x:c>
    </x:row>
    <x:row r="61" ht="62" customHeight="1">
      <x:c r="A61" s="8" t="str">
        <x:v>Participant_555060_assignsubmission_file</x:v>
      </x:c>
      <x:c r="B61" s="8" t="str">
        <x:v>C5D</x:v>
      </x:c>
      <x:c r="C61" s="24" t="n">
        <x:v>0</x:v>
      </x:c>
      <x:c r="D61" s="26" t="n">
        <x:f>'Subcriterion marks'!AB7</x:f>
        <x:v>25</x:v>
      </x:c>
      <x:c r="E61" s="22" t="str">
        <x:v>relies wholly on secondary research and guidance, with no direct empirical paper; limited credit for identifiable empirical syntheses.</x:v>
      </x:c>
    </x:row>
    <x:row r="62" ht="62" customHeight="1">
      <x:c r="A62" s="2" t="str">
        <x:v>Participant_555060_assignsubmission_file</x:v>
      </x:c>
      <x:c r="B62" s="2" t="str">
        <x:v>C5E</x:v>
      </x:c>
      <x:c r="C62" s="23" t="n">
        <x:v>1</x:v>
      </x:c>
      <x:c r="D62" s="25" t="n">
        <x:f>'Subcriterion marks'!AC7</x:f>
        <x:v>65</x:v>
      </x:c>
      <x:c r="E62" s="4" t="str">
        <x:v>relevant meta-analyses inform the blog.</x:v>
      </x:c>
    </x:row>
    <x:row r="63" ht="62" customHeight="1">
      <x:c r="A63" s="8" t="str">
        <x:v>Participant_555060_assignsubmission_file</x:v>
      </x:c>
      <x:c r="B63" s="8" t="str">
        <x:v>C5F</x:v>
      </x:c>
      <x:c r="C63" s="24" t="n">
        <x:v>0.5</x:v>
      </x:c>
      <x:c r="D63" s="26" t="n">
        <x:f>'Subcriterion marks'!AD7</x:f>
        <x:v>55</x:v>
      </x:c>
      <x:c r="E63" s="22" t="str">
        <x:v>sources support a coherent theme, but comparison and evaluation are modest.</x:v>
      </x:c>
    </x:row>
    <x:row r="64" ht="62" customHeight="1">
      <x:c r="A64" s="2" t="str">
        <x:v>Participant_555062_assignsubmission_file</x:v>
      </x:c>
      <x:c r="B64" s="2" t="str">
        <x:v>C1A</x:v>
      </x:c>
      <x:c r="C64" s="23" t="n">
        <x:v>0.5</x:v>
      </x:c>
      <x:c r="D64" s="25" t="n">
        <x:f>'Subcriterion marks'!B8</x:f>
        <x:v>55</x:v>
      </x:c>
      <x:c r="E64" s="4" t="str">
        <x:v>purposeful Toulmin and persuasion methods, weakened by the misidentified inference rule.</x:v>
      </x:c>
    </x:row>
    <x:row r="65" ht="62" customHeight="1">
      <x:c r="A65" s="8" t="str">
        <x:v>Participant_555062_assignsubmission_file</x:v>
      </x:c>
      <x:c r="B65" s="8" t="str">
        <x:v>C1B</x:v>
      </x:c>
      <x:c r="C65" s="24" t="n">
        <x:v>1</x:v>
      </x:c>
      <x:c r="D65" s="26" t="n">
        <x:f>'Subcriterion marks'!C8</x:f>
        <x:v>70</x:v>
      </x:c>
      <x:c r="E65" s="22" t="str">
        <x:v>core text supports confirmation-bias and persuasion concepts.</x:v>
      </x:c>
    </x:row>
    <x:row r="66" ht="62" customHeight="1">
      <x:c r="A66" s="2" t="str">
        <x:v>Participant_555062_assignsubmission_file</x:v>
      </x:c>
      <x:c r="B66" s="2" t="str">
        <x:v>C1C</x:v>
      </x:c>
      <x:c r="C66" s="23" t="n">
        <x:v>1</x:v>
      </x:c>
      <x:c r="D66" s="25" t="n">
        <x:f>'Subcriterion marks'!D8</x:f>
        <x:v>70</x:v>
      </x:c>
      <x:c r="E66" s="4" t="str">
        <x:v>claim, grounds, warrant and qualification are explained and reflected in the blog.</x:v>
      </x:c>
    </x:row>
    <x:row r="67" ht="62" customHeight="1">
      <x:c r="A67" s="8" t="str">
        <x:v>Participant_555062_assignsubmission_file</x:v>
      </x:c>
      <x:c r="B67" s="8" t="str">
        <x:v>C1D</x:v>
      </x:c>
      <x:c r="C67" s="24" t="n">
        <x:v>0</x:v>
      </x:c>
      <x:c r="D67" s="26" t="n">
        <x:f>'Subcriterion marks'!E8</x:f>
        <x:v>25</x:v>
      </x:c>
      <x:c r="E67" s="22" t="str">
        <x:v>attempts a logical test, but calls disconfirmation modus ponens; weak attempt rather than absence.</x:v>
      </x:c>
    </x:row>
    <x:row r="68" ht="62" customHeight="1">
      <x:c r="A68" s="2" t="str">
        <x:v>Participant_555062_assignsubmission_file</x:v>
      </x:c>
      <x:c r="B68" s="2" t="str">
        <x:v>C1E</x:v>
      </x:c>
      <x:c r="C68" s="23" t="n">
        <x:v>1</x:v>
      </x:c>
      <x:c r="D68" s="25" t="n">
        <x:f>'Subcriterion marks'!F8</x:f>
        <x:v>65</x:v>
      </x:c>
      <x:c r="E68" s="4" t="str">
        <x:v>confirmation bias and educational formats are generally clear, although some conceptual boundaries remain implicit.</x:v>
      </x:c>
    </x:row>
    <x:row r="69" ht="62" customHeight="1">
      <x:c r="A69" s="8" t="str">
        <x:v>Participant_555062_assignsubmission_file</x:v>
      </x:c>
      <x:c r="B69" s="8" t="str">
        <x:v>C2A</x:v>
      </x:c>
      <x:c r="C69" s="24" t="n">
        <x:v>1</x:v>
      </x:c>
      <x:c r="D69" s="26" t="n">
        <x:f>'Subcriterion marks'!G8</x:f>
        <x:v>75</x:v>
      </x:c>
      <x:c r="E69" s="22" t="str">
        <x:v>coherent shift from location to learner/design/context.</x:v>
      </x:c>
    </x:row>
    <x:row r="70" ht="62" customHeight="1">
      <x:c r="A70" s="2" t="str">
        <x:v>Participant_555062_assignsubmission_file</x:v>
      </x:c>
      <x:c r="B70" s="2" t="str">
        <x:v>C2B</x:v>
      </x:c>
      <x:c r="C70" s="23" t="n">
        <x:v>0.5</x:v>
      </x:c>
      <x:c r="D70" s="25" t="n">
        <x:f>'Subcriterion marks'!H8</x:f>
        <x:v>55</x:v>
      </x:c>
      <x:c r="E70" s="4" t="str">
        <x:v>varied relevant sources, but little explicit appraisal of their relative methodological strength.</x:v>
      </x:c>
    </x:row>
    <x:row r="71" ht="62" customHeight="1">
      <x:c r="A71" s="8" t="str">
        <x:v>Participant_555062_assignsubmission_file</x:v>
      </x:c>
      <x:c r="B71" s="8" t="str">
        <x:v>C2C</x:v>
      </x:c>
      <x:c r="C71" s="24" t="n">
        <x:v>1</x:v>
      </x:c>
      <x:c r="D71" s="26" t="n">
        <x:f>'Subcriterion marks'!I8</x:f>
        <x:v>70</x:v>
      </x:c>
      <x:c r="E71" s="22" t="str">
        <x:v>identifies alternative explanations involving course design and separates outcome-specific findings from overall superiority.</x:v>
      </x:c>
    </x:row>
    <x:row r="72" ht="62" customHeight="1">
      <x:c r="A72" s="2" t="str">
        <x:v>Participant_555062_assignsubmission_file</x:v>
      </x:c>
      <x:c r="B72" s="2" t="str">
        <x:v>C2D</x:v>
      </x:c>
      <x:c r="C72" s="23" t="n">
        <x:v>1</x:v>
      </x:c>
      <x:c r="D72" s="25" t="n">
        <x:f>'Subcriterion marks'!J8</x:f>
        <x:v>70</x:v>
      </x:c>
      <x:c r="E72" s="4" t="str">
        <x:v>population, context and digital-access limits are considered.</x:v>
      </x:c>
    </x:row>
    <x:row r="73" ht="62" customHeight="1">
      <x:c r="A73" s="8" t="str">
        <x:v>Participant_555062_assignsubmission_file</x:v>
      </x:c>
      <x:c r="B73" s="8" t="str">
        <x:v>C2E</x:v>
      </x:c>
      <x:c r="C73" s="24" t="n">
        <x:v>1</x:v>
      </x:c>
      <x:c r="D73" s="26" t="n">
        <x:f>'Subcriterion marks'!K8</x:f>
        <x:v>70</x:v>
      </x:c>
      <x:c r="E73" s="22" t="str">
        <x:v>classroom interaction and online flexibility are treated fairly.</x:v>
      </x:c>
    </x:row>
    <x:row r="74" ht="62" customHeight="1">
      <x:c r="A74" s="2" t="str">
        <x:v>Participant_555062_assignsubmission_file</x:v>
      </x:c>
      <x:c r="B74" s="2" t="str">
        <x:v>C2F</x:v>
      </x:c>
      <x:c r="C74" s="23" t="n">
        <x:v>1</x:v>
      </x:c>
      <x:c r="D74" s="25" t="n">
        <x:f>'Subcriterion marks'!L8</x:f>
        <x:v>70</x:v>
      </x:c>
      <x:c r="E74" s="4" t="str">
        <x:v>confirmation bias and automatic superiority assumptions are actively challenged.</x:v>
      </x:c>
    </x:row>
    <x:row r="75" ht="62" customHeight="1">
      <x:c r="A75" s="8" t="str">
        <x:v>Participant_555062_assignsubmission_file</x:v>
      </x:c>
      <x:c r="B75" s="8" t="str">
        <x:v>C3A</x:v>
      </x:c>
      <x:c r="C75" s="24" t="n">
        <x:v>1</x:v>
      </x:c>
      <x:c r="D75" s="26" t="n">
        <x:f>'Subcriterion marks'!M8</x:f>
        <x:v>70</x:v>
      </x:c>
      <x:c r="E75" s="22" t="str">
        <x:v>Toulmin structure visibly informs the qualified case.</x:v>
      </x:c>
    </x:row>
    <x:row r="76" ht="62" customHeight="1">
      <x:c r="A76" s="2" t="str">
        <x:v>Participant_555062_assignsubmission_file</x:v>
      </x:c>
      <x:c r="B76" s="2" t="str">
        <x:v>C3B</x:v>
      </x:c>
      <x:c r="C76" s="23" t="n">
        <x:v>1</x:v>
      </x:c>
      <x:c r="D76" s="25" t="n">
        <x:f>'Subcriterion marks'!N8</x:f>
        <x:v>70</x:v>
      </x:c>
      <x:c r="E76" s="4" t="str">
        <x:v>Methods explains source credibility, multiple reasons and diverse perspectives.</x:v>
      </x:c>
    </x:row>
    <x:row r="77" ht="62" customHeight="1">
      <x:c r="A77" s="8" t="str">
        <x:v>Participant_555062_assignsubmission_file</x:v>
      </x:c>
      <x:c r="B77" s="8" t="str">
        <x:v>C3C</x:v>
      </x:c>
      <x:c r="C77" s="24" t="n">
        <x:v>1</x:v>
      </x:c>
      <x:c r="D77" s="26" t="n">
        <x:f>'Subcriterion marks'!O8</x:f>
        <x:v>70</x:v>
      </x:c>
      <x:c r="E77" s="22" t="str">
        <x:v>generally fair evidence-based persuasion.</x:v>
      </x:c>
    </x:row>
    <x:row r="78" ht="62" customHeight="1">
      <x:c r="A78" s="2" t="str">
        <x:v>Participant_555062_assignsubmission_file</x:v>
      </x:c>
      <x:c r="B78" s="2" t="str">
        <x:v>C3D</x:v>
      </x:c>
      <x:c r="C78" s="23" t="n">
        <x:v>1</x:v>
      </x:c>
      <x:c r="D78" s="25" t="n">
        <x:f>'Subcriterion marks'!P8</x:f>
        <x:v>65</x:v>
      </x:c>
      <x:c r="E78" s="4" t="str">
        <x:v>public-facing questions and headings, with some long, essay-like passages.</x:v>
      </x:c>
    </x:row>
    <x:row r="79" ht="62" customHeight="1">
      <x:c r="A79" s="8" t="str">
        <x:v>Participant_555062_assignsubmission_file</x:v>
      </x:c>
      <x:c r="B79" s="8" t="str">
        <x:v>C3E</x:v>
      </x:c>
      <x:c r="C79" s="24" t="n">
        <x:v>1</x:v>
      </x:c>
      <x:c r="D79" s="26" t="n">
        <x:f>'Subcriterion marks'!Q8</x:f>
        <x:v>65</x:v>
      </x:c>
      <x:c r="E79" s="22" t="str">
        <x:v>orderly and relevant, though the logic terminology weakens precision.</x:v>
      </x:c>
    </x:row>
    <x:row r="80" ht="62" customHeight="1">
      <x:c r="A80" s="2" t="str">
        <x:v>Participant_555062_assignsubmission_file</x:v>
      </x:c>
      <x:c r="B80" s="2" t="str">
        <x:v>C4A</x:v>
      </x:c>
      <x:c r="C80" s="23" t="n">
        <x:v>1</x:v>
      </x:c>
      <x:c r="D80" s="25" t="n">
        <x:f>'Subcriterion marks'!R8</x:f>
        <x:v>65</x:v>
      </x:c>
      <x:c r="E80" s="4" t="str">
        <x:v>clear overall, with wordiness and repetition in the social-interaction section.</x:v>
      </x:c>
    </x:row>
    <x:row r="81" ht="62" customHeight="1">
      <x:c r="A81" s="8" t="str">
        <x:v>Participant_555062_assignsubmission_file</x:v>
      </x:c>
      <x:c r="B81" s="8" t="str">
        <x:v>C4B</x:v>
      </x:c>
      <x:c r="C81" s="24" t="n">
        <x:v>1</x:v>
      </x:c>
      <x:c r="D81" s="26" t="n">
        <x:f>'Subcriterion marks'!S8</x:f>
        <x:v>70</x:v>
      </x:c>
      <x:c r="E81" s="22" t="str">
        <x:v>coherent section progression.</x:v>
      </x:c>
    </x:row>
    <x:row r="82" ht="62" customHeight="1">
      <x:c r="A82" s="2" t="str">
        <x:v>Participant_555062_assignsubmission_file</x:v>
      </x:c>
      <x:c r="B82" s="2" t="str">
        <x:v>C4C</x:v>
      </x:c>
      <x:c r="C82" s="23" t="n">
        <x:v>1</x:v>
      </x:c>
      <x:c r="D82" s="25" t="n">
        <x:f>'Subcriterion marks'!T8</x:f>
        <x:v>70</x:v>
      </x:c>
      <x:c r="E82" s="4" t="str">
        <x:v>opening question and conditional conclusion fit.</x:v>
      </x:c>
    </x:row>
    <x:row r="83" ht="62" customHeight="1">
      <x:c r="A83" s="8" t="str">
        <x:v>Participant_555062_assignsubmission_file</x:v>
      </x:c>
      <x:c r="B83" s="8" t="str">
        <x:v>C4D</x:v>
      </x:c>
      <x:c r="C83" s="24" t="n">
        <x:v>1</x:v>
      </x:c>
      <x:c r="D83" s="26" t="n">
        <x:f>'Subcriterion marks'!U8</x:f>
        <x:v>65</x:v>
      </x:c>
      <x:c r="E83" s="22" t="str">
        <x:v>examples of contrasting online and classroom course designs are helpful.</x:v>
      </x:c>
    </x:row>
    <x:row r="84" ht="62" customHeight="1">
      <x:c r="A84" s="2" t="str">
        <x:v>Participant_555062_assignsubmission_file</x:v>
      </x:c>
      <x:c r="B84" s="2" t="str">
        <x:v>C4E</x:v>
      </x:c>
      <x:c r="C84" s="23" t="n">
        <x:v>1</x:v>
      </x:c>
      <x:c r="D84" s="25" t="n">
        <x:f>'Subcriterion marks'!V8</x:f>
        <x:v>70</x:v>
      </x:c>
      <x:c r="E84" s="4" t="str">
        <x:v>generally accurate expression.</x:v>
      </x:c>
    </x:row>
    <x:row r="85" ht="62" customHeight="1">
      <x:c r="A85" s="8" t="str">
        <x:v>Participant_555062_assignsubmission_file</x:v>
      </x:c>
      <x:c r="B85" s="8" t="str">
        <x:v>C4F</x:v>
      </x:c>
      <x:c r="C85" s="24" t="n">
        <x:v>0.5</x:v>
      </x:c>
      <x:c r="D85" s="26" t="n">
        <x:f>'Subcriterion marks'!W8</x:f>
        <x:v>45</x:v>
      </x:c>
      <x:c r="E85" s="22" t="str">
        <x:v>many main-text author references omit publication years and the Wason chapter entry is incomplete.</x:v>
      </x:c>
    </x:row>
    <x:row r="86" ht="62" customHeight="1">
      <x:c r="A86" s="2" t="str">
        <x:v>Participant_555062_assignsubmission_file</x:v>
      </x:c>
      <x:c r="B86" s="2" t="str">
        <x:v>C4G</x:v>
      </x:c>
      <x:c r="C86" s="23" t="n">
        <x:v>1</x:v>
      </x:c>
      <x:c r="D86" s="25" t="n">
        <x:f>'Subcriterion marks'!X8</x:f>
        <x:v>75</x:v>
      </x:c>
      <x:c r="E86" s="4" t="str">
        <x:v>approximately 1,453 words with one Methods paragraph and correct sequence.</x:v>
      </x:c>
    </x:row>
    <x:row r="87" ht="62" customHeight="1">
      <x:c r="A87" s="8" t="str">
        <x:v>Participant_555062_assignsubmission_file</x:v>
      </x:c>
      <x:c r="B87" s="8" t="str">
        <x:v>C5A</x:v>
      </x:c>
      <x:c r="C87" s="24" t="n">
        <x:v>1</x:v>
      </x:c>
      <x:c r="D87" s="26" t="n">
        <x:f>'Subcriterion marks'!Y8</x:f>
        <x:v>75</x:v>
      </x:c>
      <x:c r="E87" s="22" t="str">
        <x:v>fourteen relevant sources provide broad reading.</x:v>
      </x:c>
    </x:row>
    <x:row r="88" ht="62" customHeight="1">
      <x:c r="A88" s="2" t="str">
        <x:v>Participant_555062_assignsubmission_file</x:v>
      </x:c>
      <x:c r="B88" s="2" t="str">
        <x:v>C5B</x:v>
      </x:c>
      <x:c r="C88" s="23" t="n">
        <x:v>1</x:v>
      </x:c>
      <x:c r="D88" s="25" t="n">
        <x:f>'Subcriterion marks'!Z8</x:f>
        <x:v>70</x:v>
      </x:c>
      <x:c r="E88" s="4" t="str">
        <x:v>predominantly academic literature, with uneven depth of source scrutiny.</x:v>
      </x:c>
    </x:row>
    <x:row r="89" ht="62" customHeight="1">
      <x:c r="A89" s="8" t="str">
        <x:v>Participant_555062_assignsubmission_file</x:v>
      </x:c>
      <x:c r="B89" s="8" t="str">
        <x:v>C5C</x:v>
      </x:c>
      <x:c r="C89" s="24" t="n">
        <x:v>1</x:v>
      </x:c>
      <x:c r="D89" s="26" t="n">
        <x:f>'Subcriterion marks'!AA8</x:f>
        <x:v>75</x:v>
      </x:c>
      <x:c r="E89" s="22" t="str">
        <x:v>recent topic studies plus foundational argumentation/reasoning sources.</x:v>
      </x:c>
    </x:row>
    <x:row r="90" ht="62" customHeight="1">
      <x:c r="A90" s="2" t="str">
        <x:v>Participant_555062_assignsubmission_file</x:v>
      </x:c>
      <x:c r="B90" s="2" t="str">
        <x:v>C5D</x:v>
      </x:c>
      <x:c r="C90" s="23" t="n">
        <x:v>1</x:v>
      </x:c>
      <x:c r="D90" s="25" t="n">
        <x:f>'Subcriterion marks'!AB8</x:f>
        <x:v>65</x:v>
      </x:c>
      <x:c r="E90" s="4" t="str">
        <x:v>direct comparative studies are used alongside syntheses.</x:v>
      </x:c>
    </x:row>
    <x:row r="91" ht="62" customHeight="1">
      <x:c r="A91" s="8" t="str">
        <x:v>Participant_555062_assignsubmission_file</x:v>
      </x:c>
      <x:c r="B91" s="8" t="str">
        <x:v>C5E</x:v>
      </x:c>
      <x:c r="C91" s="24" t="n">
        <x:v>1</x:v>
      </x:c>
      <x:c r="D91" s="26" t="n">
        <x:f>'Subcriterion marks'!AC8</x:f>
        <x:v>70</x:v>
      </x:c>
      <x:c r="E91" s="22" t="str">
        <x:v>systematic reviews and meta-analysis are present.</x:v>
      </x:c>
    </x:row>
    <x:row r="92" ht="62" customHeight="1">
      <x:c r="A92" s="2" t="str">
        <x:v>Participant_555062_assignsubmission_file</x:v>
      </x:c>
      <x:c r="B92" s="2" t="str">
        <x:v>C5F</x:v>
      </x:c>
      <x:c r="C92" s="23" t="n">
        <x:v>1</x:v>
      </x:c>
      <x:c r="D92" s="25" t="n">
        <x:f>'Subcriterion marks'!AD8</x:f>
        <x:v>70</x:v>
      </x:c>
      <x:c r="E92" s="4" t="str">
        <x:v>sources are integrated into competing explanations and qualified conclusions.</x:v>
      </x:c>
    </x:row>
    <x:row r="93" ht="62" customHeight="1">
      <x:c r="A93" s="8" t="str">
        <x:v>Participant_555064_assignsubmission_file</x:v>
      </x:c>
      <x:c r="B93" s="8" t="str">
        <x:v>C1A</x:v>
      </x:c>
      <x:c r="C93" s="24" t="n">
        <x:v>1</x:v>
      </x:c>
      <x:c r="D93" s="26" t="n">
        <x:f>'Subcriterion marks'!B9</x:f>
        <x:v>80</x:v>
      </x:c>
      <x:c r="E93" s="22" t="str">
        <x:v>explains evidence evaluation, alternative explanations, hypothesis testing and metacognitive monitoring purposefully.</x:v>
      </x:c>
    </x:row>
    <x:row r="94" ht="62" customHeight="1">
      <x:c r="A94" s="2" t="str">
        <x:v>Participant_555064_assignsubmission_file</x:v>
      </x:c>
      <x:c r="B94" s="2" t="str">
        <x:v>C1B</x:v>
      </x:c>
      <x:c r="C94" s="23" t="n">
        <x:v>1</x:v>
      </x:c>
      <x:c r="D94" s="25" t="n">
        <x:f>'Subcriterion marks'!C9</x:f>
        <x:v>80</x:v>
      </x:c>
      <x:c r="E94" s="4" t="str">
        <x:v>core text is integrated into the definition and proposed learning process.</x:v>
      </x:c>
    </x:row>
    <x:row r="95" ht="62" customHeight="1">
      <x:c r="A95" s="8" t="str">
        <x:v>Participant_555064_assignsubmission_file</x:v>
      </x:c>
      <x:c r="B95" s="8" t="str">
        <x:v>C1C</x:v>
      </x:c>
      <x:c r="C95" s="24" t="n">
        <x:v>1</x:v>
      </x:c>
      <x:c r="D95" s="26" t="n">
        <x:f>'Subcriterion marks'!D9</x:f>
        <x:v>80</x:v>
      </x:c>
      <x:c r="E95" s="22" t="str">
        <x:v>explicitly maps claim, grounds, warrant, qualifier and rebuttal.</x:v>
      </x:c>
    </x:row>
    <x:row r="96" ht="62" customHeight="1">
      <x:c r="A96" s="2" t="str">
        <x:v>Participant_555064_assignsubmission_file</x:v>
      </x:c>
      <x:c r="B96" s="2" t="str">
        <x:v>C1D</x:v>
      </x:c>
      <x:c r="C96" s="23" t="n">
        <x:v>0</x:v>
      </x:c>
      <x:c r="D96" s="25" t="n">
        <x:f>'Subcriterion marks'!E9</x:f>
        <x:v>0</x:v>
      </x:c>
      <x:c r="E96" s="4" t="str">
        <x:v>no principal inductive/deductive/causal/probabilistic reasoning form identified.</x:v>
      </x:c>
    </x:row>
    <x:row r="97" ht="62" customHeight="1">
      <x:c r="A97" s="8" t="str">
        <x:v>Participant_555064_assignsubmission_file</x:v>
      </x:c>
      <x:c r="B97" s="8" t="str">
        <x:v>C1E</x:v>
      </x:c>
      <x:c r="C97" s="24" t="n">
        <x:v>1</x:v>
      </x:c>
      <x:c r="D97" s="26" t="n">
        <x:f>'Subcriterion marks'!F9</x:f>
        <x:v>70</x:v>
      </x:c>
      <x:c r="E97" s="22" t="str">
        <x:v>critical thinking, offloading and automation bias are clarified; some statistical terminology is less accessible.</x:v>
      </x:c>
    </x:row>
    <x:row r="98" ht="62" customHeight="1">
      <x:c r="A98" s="2" t="str">
        <x:v>Participant_555064_assignsubmission_file</x:v>
      </x:c>
      <x:c r="B98" s="2" t="str">
        <x:v>C2A</x:v>
      </x:c>
      <x:c r="C98" s="23" t="n">
        <x:v>1</x:v>
      </x:c>
      <x:c r="D98" s="25" t="n">
        <x:f>'Subcriterion marks'!G9</x:f>
        <x:v>80</x:v>
      </x:c>
      <x:c r="E98" s="4" t="str">
        <x:v>strongly sustained thesis about retaining human cognitive work.</x:v>
      </x:c>
    </x:row>
    <x:row r="99" ht="62" customHeight="1">
      <x:c r="A99" s="8" t="str">
        <x:v>Participant_555064_assignsubmission_file</x:v>
      </x:c>
      <x:c r="B99" s="8" t="str">
        <x:v>C2B</x:v>
      </x:c>
      <x:c r="C99" s="24" t="n">
        <x:v>1</x:v>
      </x:c>
      <x:c r="D99" s="26" t="n">
        <x:f>'Subcriterion marks'!H9</x:f>
        <x:v>80</x:v>
      </x:c>
      <x:c r="E99" s="22" t="str">
        <x:v>examines heterogeneity, sample size and intervention duration rather than merely citing reviews.</x:v>
      </x:c>
    </x:row>
    <x:row r="100" ht="62" customHeight="1">
      <x:c r="A100" s="2" t="str">
        <x:v>Participant_555064_assignsubmission_file</x:v>
      </x:c>
      <x:c r="B100" s="2" t="str">
        <x:v>C2C</x:v>
      </x:c>
      <x:c r="C100" s="23" t="n">
        <x:v>1</x:v>
      </x:c>
      <x:c r="D100" s="25" t="n">
        <x:f>'Subcriterion marks'!I9</x:f>
        <x:v>80</x:v>
      </x:c>
      <x:c r="E100" s="4" t="str">
        <x:v>distinguishes performance, metacognition and independent transfer, considering novelty and researcher support.</x:v>
      </x:c>
    </x:row>
    <x:row r="101" ht="62" customHeight="1">
      <x:c r="A101" s="8" t="str">
        <x:v>Participant_555064_assignsubmission_file</x:v>
      </x:c>
      <x:c r="B101" s="8" t="str">
        <x:v>C2D</x:v>
      </x:c>
      <x:c r="C101" s="24" t="n">
        <x:v>1</x:v>
      </x:c>
      <x:c r="D101" s="26" t="n">
        <x:f>'Subcriterion marks'!J9</x:f>
        <x:v>85</x:v>
      </x:c>
      <x:c r="E101" s="22" t="str">
        <x:v>explicit population/time limits and evidence that would reverse the position are unusually developed.</x:v>
      </x:c>
    </x:row>
    <x:row r="102" ht="62" customHeight="1">
      <x:c r="A102" s="2" t="str">
        <x:v>Participant_555064_assignsubmission_file</x:v>
      </x:c>
      <x:c r="B102" s="2" t="str">
        <x:v>C2E</x:v>
      </x:c>
      <x:c r="C102" s="23" t="n">
        <x:v>1</x:v>
      </x:c>
      <x:c r="D102" s="25" t="n">
        <x:f>'Subcriterion marks'!K9</x:f>
        <x:v>75</x:v>
      </x:c>
      <x:c r="E102" s="4" t="str">
        <x:v>meaningful objections about dependency and integrity inform the position, with policy alternatives.</x:v>
      </x:c>
    </x:row>
    <x:row r="103" ht="62" customHeight="1">
      <x:c r="A103" s="8" t="str">
        <x:v>Participant_555064_assignsubmission_file</x:v>
      </x:c>
      <x:c r="B103" s="8" t="str">
        <x:v>C2F</x:v>
      </x:c>
      <x:c r="C103" s="24" t="n">
        <x:v>1</x:v>
      </x:c>
      <x:c r="D103" s="26" t="n">
        <x:f>'Subcriterion marks'!L9</x:f>
        <x:v>80</x:v>
      </x:c>
      <x:c r="E103" s="22" t="str">
        <x:v>confirmation and automation biases are applied and the false binary is rejected.</x:v>
      </x:c>
    </x:row>
    <x:row r="104" ht="62" customHeight="1">
      <x:c r="A104" s="2" t="str">
        <x:v>Participant_555064_assignsubmission_file</x:v>
      </x:c>
      <x:c r="B104" s="2" t="str">
        <x:v>C3A</x:v>
      </x:c>
      <x:c r="C104" s="23" t="n">
        <x:v>1</x:v>
      </x:c>
      <x:c r="D104" s="25" t="n">
        <x:f>'Subcriterion marks'!M9</x:f>
        <x:v>80</x:v>
      </x:c>
      <x:c r="E104" s="4" t="str">
        <x:v>unusually explicit and visible application of Toulmin.</x:v>
      </x:c>
    </x:row>
    <x:row r="105" ht="62" customHeight="1">
      <x:c r="A105" s="8" t="str">
        <x:v>Participant_555064_assignsubmission_file</x:v>
      </x:c>
      <x:c r="B105" s="8" t="str">
        <x:v>C3B</x:v>
      </x:c>
      <x:c r="C105" s="24" t="n">
        <x:v>0.5</x:v>
      </x:c>
      <x:c r="D105" s="26" t="n">
        <x:f>'Subcriterion marks'!N9</x:f>
        <x:v>55</x:v>
      </x:c>
      <x:c r="E105" s="22" t="str">
        <x:v>persuasive contrasts and examples work well, but Methods largely explains critical analysis rather than persuasion techniques.</x:v>
      </x:c>
    </x:row>
    <x:row r="106" ht="62" customHeight="1">
      <x:c r="A106" s="2" t="str">
        <x:v>Participant_555064_assignsubmission_file</x:v>
      </x:c>
      <x:c r="B106" s="2" t="str">
        <x:v>C3C</x:v>
      </x:c>
      <x:c r="C106" s="23" t="n">
        <x:v>1</x:v>
      </x:c>
      <x:c r="D106" s="25" t="n">
        <x:f>'Subcriterion marks'!O9</x:f>
        <x:v>80</x:v>
      </x:c>
      <x:c r="E106" s="4" t="str">
        <x:v>strong qualification and openness to disconfirming evidence.</x:v>
      </x:c>
    </x:row>
    <x:row r="107" ht="62" customHeight="1">
      <x:c r="A107" s="8" t="str">
        <x:v>Participant_555064_assignsubmission_file</x:v>
      </x:c>
      <x:c r="B107" s="8" t="str">
        <x:v>C3D</x:v>
      </x:c>
      <x:c r="C107" s="24" t="n">
        <x:v>1</x:v>
      </x:c>
      <x:c r="D107" s="26" t="n">
        <x:f>'Subcriterion marks'!P9</x:f>
        <x:v>75</x:v>
      </x:c>
      <x:c r="E107" s="22" t="str">
        <x:v>engaging voice and student scenarios, though no conventional subheading structure.</x:v>
      </x:c>
    </x:row>
    <x:row r="108" ht="62" customHeight="1">
      <x:c r="A108" s="2" t="str">
        <x:v>Participant_555064_assignsubmission_file</x:v>
      </x:c>
      <x:c r="B108" s="2" t="str">
        <x:v>C3E</x:v>
      </x:c>
      <x:c r="C108" s="23" t="n">
        <x:v>1</x:v>
      </x:c>
      <x:c r="D108" s="25" t="n">
        <x:f>'Subcriterion marks'!Q9</x:f>
        <x:v>75</x:v>
      </x:c>
      <x:c r="E108" s="4" t="str">
        <x:v>relevant, precise progression with appropriately limited claims.</x:v>
      </x:c>
    </x:row>
    <x:row r="109" ht="62" customHeight="1">
      <x:c r="A109" s="8" t="str">
        <x:v>Participant_555064_assignsubmission_file</x:v>
      </x:c>
      <x:c r="B109" s="8" t="str">
        <x:v>C4A</x:v>
      </x:c>
      <x:c r="C109" s="24" t="n">
        <x:v>1</x:v>
      </x:c>
      <x:c r="D109" s="26" t="n">
        <x:f>'Subcriterion marks'!R9</x:f>
        <x:v>75</x:v>
      </x:c>
      <x:c r="E109" s="22" t="str">
        <x:v>clear and purposeful despite some technical density.</x:v>
      </x:c>
    </x:row>
    <x:row r="110" ht="62" customHeight="1">
      <x:c r="A110" s="2" t="str">
        <x:v>Participant_555064_assignsubmission_file</x:v>
      </x:c>
      <x:c r="B110" s="2" t="str">
        <x:v>C4B</x:v>
      </x:c>
      <x:c r="C110" s="23" t="n">
        <x:v>1</x:v>
      </x:c>
      <x:c r="D110" s="25" t="n">
        <x:f>'Subcriterion marks'!S9</x:f>
        <x:v>80</x:v>
      </x:c>
      <x:c r="E110" s="4" t="str">
        <x:v>exceptionally coherent movement from evidence to mechanisms and implications.</x:v>
      </x:c>
    </x:row>
    <x:row r="111" ht="62" customHeight="1">
      <x:c r="A111" s="8" t="str">
        <x:v>Participant_555064_assignsubmission_file</x:v>
      </x:c>
      <x:c r="B111" s="8" t="str">
        <x:v>C4C</x:v>
      </x:c>
      <x:c r="C111" s="24" t="n">
        <x:v>1</x:v>
      </x:c>
      <x:c r="D111" s="26" t="n">
        <x:f>'Subcriterion marks'!T9</x:f>
        <x:v>80</x:v>
      </x:c>
      <x:c r="E111" s="22" t="str">
        <x:v>conclusion includes revisability and answers the opening issue.</x:v>
      </x:c>
    </x:row>
    <x:row r="112" ht="62" customHeight="1">
      <x:c r="A112" s="2" t="str">
        <x:v>Participant_555064_assignsubmission_file</x:v>
      </x:c>
      <x:c r="B112" s="2" t="str">
        <x:v>C4D</x:v>
      </x:c>
      <x:c r="C112" s="23" t="n">
        <x:v>1</x:v>
      </x:c>
      <x:c r="D112" s="25" t="n">
        <x:f>'Subcriterion marks'!U9</x:f>
        <x:v>80</x:v>
      </x:c>
      <x:c r="E112" s="4" t="str">
        <x:v>contrasting student scenarios explain offloading and scaffolded thinking particularly well.</x:v>
      </x:c>
    </x:row>
    <x:row r="113" ht="62" customHeight="1">
      <x:c r="A113" s="8" t="str">
        <x:v>Participant_555064_assignsubmission_file</x:v>
      </x:c>
      <x:c r="B113" s="8" t="str">
        <x:v>C4E</x:v>
      </x:c>
      <x:c r="C113" s="24" t="n">
        <x:v>1</x:v>
      </x:c>
      <x:c r="D113" s="26" t="n">
        <x:f>'Subcriterion marks'!V9</x:f>
        <x:v>75</x:v>
      </x:c>
      <x:c r="E113" s="22" t="str">
        <x:v>accurate and fluent.</x:v>
      </x:c>
    </x:row>
    <x:row r="114" ht="62" customHeight="1">
      <x:c r="A114" s="2" t="str">
        <x:v>Participant_555064_assignsubmission_file</x:v>
      </x:c>
      <x:c r="B114" s="2" t="str">
        <x:v>C4F</x:v>
      </x:c>
      <x:c r="C114" s="23" t="n">
        <x:v>1</x:v>
      </x:c>
      <x:c r="D114" s="25" t="n">
        <x:f>'Subcriterion marks'!W9</x:f>
        <x:v>70</x:v>
      </x:c>
      <x:c r="E114" s="4" t="str">
        <x:v>visible references are largely consistent; report author details and typography require original-source checking.</x:v>
      </x:c>
    </x:row>
    <x:row r="115" ht="62" customHeight="1">
      <x:c r="A115" s="8" t="str">
        <x:v>Participant_555064_assignsubmission_file</x:v>
      </x:c>
      <x:c r="B115" s="8" t="str">
        <x:v>C4G</x:v>
      </x:c>
      <x:c r="C115" s="24" t="n">
        <x:v>1</x:v>
      </x:c>
      <x:c r="D115" s="26" t="n">
        <x:f>'Subcriterion marks'!X9</x:f>
        <x:v>75</x:v>
      </x:c>
      <x:c r="E115" s="22" t="str">
        <x:v>approximately 1,493 blog words, one Methods paragraph and correct sequence.</x:v>
      </x:c>
    </x:row>
    <x:row r="116" ht="62" customHeight="1">
      <x:c r="A116" s="2" t="str">
        <x:v>Participant_555064_assignsubmission_file</x:v>
      </x:c>
      <x:c r="B116" s="2" t="str">
        <x:v>C5A</x:v>
      </x:c>
      <x:c r="C116" s="23" t="n">
        <x:v>0.5</x:v>
      </x:c>
      <x:c r="D116" s="25" t="n">
        <x:f>'Subcriterion marks'!Y9</x:f>
        <x:v>55</x:v>
      </x:c>
      <x:c r="E116" s="4" t="str">
        <x:v>eight relevant sources give adequate but limited breadth against the ten-source requirement.</x:v>
      </x:c>
    </x:row>
    <x:row r="117" ht="62" customHeight="1">
      <x:c r="A117" s="8" t="str">
        <x:v>Participant_555064_assignsubmission_file</x:v>
      </x:c>
      <x:c r="B117" s="8" t="str">
        <x:v>C5B</x:v>
      </x:c>
      <x:c r="C117" s="24" t="n">
        <x:v>1</x:v>
      </x:c>
      <x:c r="D117" s="26" t="n">
        <x:f>'Subcriterion marks'!Z9</x:f>
        <x:v>80</x:v>
      </x:c>
      <x:c r="E117" s="22" t="str">
        <x:v>academic syntheses, foundational texts and institutional guidance.</x:v>
      </x:c>
    </x:row>
    <x:row r="118" ht="62" customHeight="1">
      <x:c r="A118" s="2" t="str">
        <x:v>Participant_555064_assignsubmission_file</x:v>
      </x:c>
      <x:c r="B118" s="2" t="str">
        <x:v>C5C</x:v>
      </x:c>
      <x:c r="C118" s="23" t="n">
        <x:v>1</x:v>
      </x:c>
      <x:c r="D118" s="25" t="n">
        <x:f>'Subcriterion marks'!AA9</x:f>
        <x:v>75</x:v>
      </x:c>
      <x:c r="E118" s="4" t="str">
        <x:v>current research combined with relevant theory.</x:v>
      </x:c>
    </x:row>
    <x:row r="119" ht="62" customHeight="1">
      <x:c r="A119" s="8" t="str">
        <x:v>Participant_555064_assignsubmission_file</x:v>
      </x:c>
      <x:c r="B119" s="8" t="str">
        <x:v>C5D</x:v>
      </x:c>
      <x:c r="C119" s="24" t="n">
        <x:v>0</x:v>
      </x:c>
      <x:c r="D119" s="26" t="n">
        <x:f>'Subcriterion marks'!AB9</x:f>
        <x:v>30</x:v>
      </x:c>
      <x:c r="E119" s="22" t="str">
        <x:v>empirical claims remain mediated by syntheses rather than direct primary studies; limited credit for clearly identified research designs.</x:v>
      </x:c>
    </x:row>
    <x:row r="120" ht="62" customHeight="1">
      <x:c r="A120" s="2" t="str">
        <x:v>Participant_555064_assignsubmission_file</x:v>
      </x:c>
      <x:c r="B120" s="2" t="str">
        <x:v>C5E</x:v>
      </x:c>
      <x:c r="C120" s="23" t="n">
        <x:v>1</x:v>
      </x:c>
      <x:c r="D120" s="25" t="n">
        <x:f>'Subcriterion marks'!AC9</x:f>
        <x:v>80</x:v>
      </x:c>
      <x:c r="E120" s="4" t="str">
        <x:v>multiple relevant reviews/meta-analyses are interpreted.</x:v>
      </x:c>
    </x:row>
    <x:row r="121" ht="62" customHeight="1">
      <x:c r="A121" s="8" t="str">
        <x:v>Participant_555064_assignsubmission_file</x:v>
      </x:c>
      <x:c r="B121" s="8" t="str">
        <x:v>C5F</x:v>
      </x:c>
      <x:c r="C121" s="24" t="n">
        <x:v>1</x:v>
      </x:c>
      <x:c r="D121" s="26" t="n">
        <x:f>'Subcriterion marks'!AD9</x:f>
        <x:v>80</x:v>
      </x:c>
      <x:c r="E121" s="22" t="str">
        <x:v>unusually strong integration of effect estimates, limitations, mechanisms and judgement.</x:v>
      </x:c>
    </x:row>
    <x:row r="122" ht="62" customHeight="1">
      <x:c r="A122" s="2" t="str">
        <x:v>Participant_555065_assignsubmission_file</x:v>
      </x:c>
      <x:c r="B122" s="2" t="str">
        <x:v>C1A</x:v>
      </x:c>
      <x:c r="C122" s="23" t="n">
        <x:v>1</x:v>
      </x:c>
      <x:c r="D122" s="25" t="n">
        <x:f>'Subcriterion marks'!B10</x:f>
        <x:v>75</x:v>
      </x:c>
      <x:c r="E122" s="4" t="str">
        <x:v>purposeful argument analysis, qualifiers and confound evaluation in Methods.</x:v>
      </x:c>
    </x:row>
    <x:row r="123" ht="62" customHeight="1">
      <x:c r="A123" s="8" t="str">
        <x:v>Participant_555065_assignsubmission_file</x:v>
      </x:c>
      <x:c r="B123" s="8" t="str">
        <x:v>C1B</x:v>
      </x:c>
      <x:c r="C123" s="24" t="n">
        <x:v>1</x:v>
      </x:c>
      <x:c r="D123" s="26" t="n">
        <x:f>'Subcriterion marks'!C10</x:f>
        <x:v>75</x:v>
      </x:c>
      <x:c r="E123" s="22" t="str">
        <x:v>core text informs confirmation bias and alternative explanations.</x:v>
      </x:c>
    </x:row>
    <x:row r="124" ht="62" customHeight="1">
      <x:c r="A124" s="2" t="str">
        <x:v>Participant_555065_assignsubmission_file</x:v>
      </x:c>
      <x:c r="B124" s="2" t="str">
        <x:v>C1C</x:v>
      </x:c>
      <x:c r="C124" s="23" t="n">
        <x:v>1</x:v>
      </x:c>
      <x:c r="D124" s="25" t="n">
        <x:f>'Subcriterion marks'!D10</x:f>
        <x:v>70</x:v>
      </x:c>
      <x:c r="E124" s="4" t="str">
        <x:v>main components are connected, with warrants less explicit than the strongest papers.</x:v>
      </x:c>
    </x:row>
    <x:row r="125" ht="62" customHeight="1">
      <x:c r="A125" s="8" t="str">
        <x:v>Participant_555065_assignsubmission_file</x:v>
      </x:c>
      <x:c r="B125" s="8" t="str">
        <x:v>C1D</x:v>
      </x:c>
      <x:c r="C125" s="24" t="n">
        <x:v>0.5</x:v>
      </x:c>
      <x:c r="D125" s="26" t="n">
        <x:f>'Subcriterion marks'!E10</x:f>
        <x:v>55</x:v>
      </x:c>
      <x:c r="E125" s="22" t="str">
        <x:v>accurate association/causation distinction, but principal reasoning form and certainty are not fully characterised.</x:v>
      </x:c>
    </x:row>
    <x:row r="126" ht="62" customHeight="1">
      <x:c r="A126" s="2" t="str">
        <x:v>Participant_555065_assignsubmission_file</x:v>
      </x:c>
      <x:c r="B126" s="2" t="str">
        <x:v>C1E</x:v>
      </x:c>
      <x:c r="C126" s="23" t="n">
        <x:v>1</x:v>
      </x:c>
      <x:c r="D126" s="25" t="n">
        <x:f>'Subcriterion marks'!F10</x:f>
        <x:v>70</x:v>
      </x:c>
      <x:c r="E126" s="4" t="str">
        <x:v>diet quality versus dietary label and nutrient requirements are clearly distinguished.</x:v>
      </x:c>
    </x:row>
    <x:row r="127" ht="62" customHeight="1">
      <x:c r="A127" s="8" t="str">
        <x:v>Participant_555065_assignsubmission_file</x:v>
      </x:c>
      <x:c r="B127" s="8" t="str">
        <x:v>C2A</x:v>
      </x:c>
      <x:c r="C127" s="24" t="n">
        <x:v>1</x:v>
      </x:c>
      <x:c r="D127" s="26" t="n">
        <x:f>'Subcriterion marks'!G10</x:f>
        <x:v>75</x:v>
      </x:c>
      <x:c r="E127" s="22" t="str">
        <x:v>coherent reduced-meat position across health, environment and practical constraints.</x:v>
      </x:c>
    </x:row>
    <x:row r="128" ht="62" customHeight="1">
      <x:c r="A128" s="2" t="str">
        <x:v>Participant_555065_assignsubmission_file</x:v>
      </x:c>
      <x:c r="B128" s="2" t="str">
        <x:v>C2B</x:v>
      </x:c>
      <x:c r="C128" s="23" t="n">
        <x:v>0.5</x:v>
      </x:c>
      <x:c r="D128" s="25" t="n">
        <x:f>'Subcriterion marks'!H10</x:f>
        <x:v>55</x:v>
      </x:c>
      <x:c r="E128" s="4" t="str">
        <x:v>relevant scholarly evidence, but relative source quality and design strength are not extensively compared.</x:v>
      </x:c>
    </x:row>
    <x:row r="129" ht="62" customHeight="1">
      <x:c r="A129" s="8" t="str">
        <x:v>Participant_555065_assignsubmission_file</x:v>
      </x:c>
      <x:c r="B129" s="8" t="str">
        <x:v>C2C</x:v>
      </x:c>
      <x:c r="C129" s="24" t="n">
        <x:v>1</x:v>
      </x:c>
      <x:c r="D129" s="26" t="n">
        <x:f>'Subcriterion marks'!I10</x:f>
        <x:v>75</x:v>
      </x:c>
      <x:c r="E129" s="22" t="str">
        <x:v>explicitly identifies lifestyle confounds and avoids causal overclaiming.</x:v>
      </x:c>
    </x:row>
    <x:row r="130" ht="62" customHeight="1">
      <x:c r="A130" s="2" t="str">
        <x:v>Participant_555065_assignsubmission_file</x:v>
      </x:c>
      <x:c r="B130" s="2" t="str">
        <x:v>C2D</x:v>
      </x:c>
      <x:c r="C130" s="23" t="n">
        <x:v>1</x:v>
      </x:c>
      <x:c r="D130" s="25" t="n">
        <x:f>'Subcriterion marks'!J10</x:f>
        <x:v>70</x:v>
      </x:c>
      <x:c r="E130" s="4" t="str">
        <x:v>individual variability, affordability and food substitution limit universal claims.</x:v>
      </x:c>
    </x:row>
    <x:row r="131" ht="62" customHeight="1">
      <x:c r="A131" s="8" t="str">
        <x:v>Participant_555065_assignsubmission_file</x:v>
      </x:c>
      <x:c r="B131" s="8" t="str">
        <x:v>C2E</x:v>
      </x:c>
      <x:c r="C131" s="24" t="n">
        <x:v>1</x:v>
      </x:c>
      <x:c r="D131" s="26" t="n">
        <x:f>'Subcriterion marks'!K10</x:f>
        <x:v>70</x:v>
      </x:c>
      <x:c r="E131" s="22" t="str">
        <x:v>nutrition, culture and access objections modify the recommendation.</x:v>
      </x:c>
    </x:row>
    <x:row r="132" ht="62" customHeight="1">
      <x:c r="A132" s="2" t="str">
        <x:v>Participant_555065_assignsubmission_file</x:v>
      </x:c>
      <x:c r="B132" s="2" t="str">
        <x:v>C2F</x:v>
      </x:c>
      <x:c r="C132" s="23" t="n">
        <x:v>1</x:v>
      </x:c>
      <x:c r="D132" s="25" t="n">
        <x:f>'Subcriterion marks'!L10</x:f>
        <x:v>70</x:v>
      </x:c>
      <x:c r="E132" s="4" t="str">
        <x:v>confirmation bias and false dichotomy are explained and applied.</x:v>
      </x:c>
    </x:row>
    <x:row r="133" ht="62" customHeight="1">
      <x:c r="A133" s="8" t="str">
        <x:v>Participant_555065_assignsubmission_file</x:v>
      </x:c>
      <x:c r="B133" s="8" t="str">
        <x:v>C3A</x:v>
      </x:c>
      <x:c r="C133" s="24" t="n">
        <x:v>1</x:v>
      </x:c>
      <x:c r="D133" s="26" t="n">
        <x:f>'Subcriterion marks'!M10</x:f>
        <x:v>70</x:v>
      </x:c>
      <x:c r="E133" s="22" t="str">
        <x:v>Toulmin-style qualified claim is visible in the blog.</x:v>
      </x:c>
    </x:row>
    <x:row r="134" ht="62" customHeight="1">
      <x:c r="A134" s="2" t="str">
        <x:v>Participant_555065_assignsubmission_file</x:v>
      </x:c>
      <x:c r="B134" s="2" t="str">
        <x:v>C3B</x:v>
      </x:c>
      <x:c r="C134" s="23" t="n">
        <x:v>0.5</x:v>
      </x:c>
      <x:c r="D134" s="25" t="n">
        <x:f>'Subcriterion marks'!N10</x:f>
        <x:v>55</x:v>
      </x:c>
      <x:c r="E134" s="4" t="str">
        <x:v>Methods explains analytical choices more than persuasive techniques.</x:v>
      </x:c>
    </x:row>
    <x:row r="135" ht="62" customHeight="1">
      <x:c r="A135" s="8" t="str">
        <x:v>Participant_555065_assignsubmission_file</x:v>
      </x:c>
      <x:c r="B135" s="8" t="str">
        <x:v>C3C</x:v>
      </x:c>
      <x:c r="C135" s="24" t="n">
        <x:v>1</x:v>
      </x:c>
      <x:c r="D135" s="26" t="n">
        <x:f>'Subcriterion marks'!O10</x:f>
        <x:v>70</x:v>
      </x:c>
      <x:c r="E135" s="22" t="str">
        <x:v>fair and qualified treatment of dietary options.</x:v>
      </x:c>
    </x:row>
    <x:row r="136" ht="62" customHeight="1">
      <x:c r="A136" s="2" t="str">
        <x:v>Participant_555065_assignsubmission_file</x:v>
      </x:c>
      <x:c r="B136" s="2" t="str">
        <x:v>C3D</x:v>
      </x:c>
      <x:c r="C136" s="23" t="n">
        <x:v>1</x:v>
      </x:c>
      <x:c r="D136" s="25" t="n">
        <x:f>'Subcriterion marks'!P10</x:f>
        <x:v>75</x:v>
      </x:c>
      <x:c r="E136" s="4" t="str">
        <x:v>engaging opening, voice and clear subheadings.</x:v>
      </x:c>
    </x:row>
    <x:row r="137" ht="62" customHeight="1">
      <x:c r="A137" s="8" t="str">
        <x:v>Participant_555065_assignsubmission_file</x:v>
      </x:c>
      <x:c r="B137" s="8" t="str">
        <x:v>C3E</x:v>
      </x:c>
      <x:c r="C137" s="24" t="n">
        <x:v>1</x:v>
      </x:c>
      <x:c r="D137" s="26" t="n">
        <x:f>'Subcriterion marks'!Q10</x:f>
        <x:v>70</x:v>
      </x:c>
      <x:c r="E137" s="22" t="str">
        <x:v>relevant, orderly and generally proportionate communication.</x:v>
      </x:c>
    </x:row>
    <x:row r="138" ht="62" customHeight="1">
      <x:c r="A138" s="2" t="str">
        <x:v>Participant_555065_assignsubmission_file</x:v>
      </x:c>
      <x:c r="B138" s="2" t="str">
        <x:v>C4A</x:v>
      </x:c>
      <x:c r="C138" s="23" t="n">
        <x:v>1</x:v>
      </x:c>
      <x:c r="D138" s="25" t="n">
        <x:f>'Subcriterion marks'!R10</x:f>
        <x:v>70</x:v>
      </x:c>
      <x:c r="E138" s="4" t="str">
        <x:v>accessible prose with some repetition.</x:v>
      </x:c>
    </x:row>
    <x:row r="139" ht="62" customHeight="1">
      <x:c r="A139" s="8" t="str">
        <x:v>Participant_555065_assignsubmission_file</x:v>
      </x:c>
      <x:c r="B139" s="8" t="str">
        <x:v>C4B</x:v>
      </x:c>
      <x:c r="C139" s="24" t="n">
        <x:v>1</x:v>
      </x:c>
      <x:c r="D139" s="26" t="n">
        <x:f>'Subcriterion marks'!S10</x:f>
        <x:v>75</x:v>
      </x:c>
      <x:c r="E139" s="22" t="str">
        <x:v>well-organised progression from health to environment and practical judgement.</x:v>
      </x:c>
    </x:row>
    <x:row r="140" ht="62" customHeight="1">
      <x:c r="A140" s="2" t="str">
        <x:v>Participant_555065_assignsubmission_file</x:v>
      </x:c>
      <x:c r="B140" s="2" t="str">
        <x:v>C4C</x:v>
      </x:c>
      <x:c r="C140" s="23" t="n">
        <x:v>1</x:v>
      </x:c>
      <x:c r="D140" s="25" t="n">
        <x:f>'Subcriterion marks'!T10</x:f>
        <x:v>70</x:v>
      </x:c>
      <x:c r="E140" s="4" t="str">
        <x:v>coherent conditional introduction and conclusion.</x:v>
      </x:c>
    </x:row>
    <x:row r="141" ht="62" customHeight="1">
      <x:c r="A141" s="8" t="str">
        <x:v>Participant_555065_assignsubmission_file</x:v>
      </x:c>
      <x:c r="B141" s="8" t="str">
        <x:v>C4D</x:v>
      </x:c>
      <x:c r="C141" s="24" t="n">
        <x:v>1</x:v>
      </x:c>
      <x:c r="D141" s="26" t="n">
        <x:f>'Subcriterion marks'!U10</x:f>
        <x:v>75</x:v>
      </x:c>
      <x:c r="E141" s="22" t="str">
        <x:v>processed vegetarian foods and household substitutions make the argument concrete.</x:v>
      </x:c>
    </x:row>
    <x:row r="142" ht="62" customHeight="1">
      <x:c r="A142" s="2" t="str">
        <x:v>Participant_555065_assignsubmission_file</x:v>
      </x:c>
      <x:c r="B142" s="2" t="str">
        <x:v>C4E</x:v>
      </x:c>
      <x:c r="C142" s="23" t="n">
        <x:v>1</x:v>
      </x:c>
      <x:c r="D142" s="25" t="n">
        <x:f>'Subcriterion marks'!V10</x:f>
        <x:v>70</x:v>
      </x:c>
      <x:c r="E142" s="4" t="str">
        <x:v>generally accurate written English.</x:v>
      </x:c>
    </x:row>
    <x:row r="143" ht="62" customHeight="1">
      <x:c r="A143" s="8" t="str">
        <x:v>Participant_555065_assignsubmission_file</x:v>
      </x:c>
      <x:c r="B143" s="8" t="str">
        <x:v>C4F</x:v>
      </x:c>
      <x:c r="C143" s="24" t="n">
        <x:v>0.5</x:v>
      </x:c>
      <x:c r="D143" s="26" t="n">
        <x:f>'Subcriterion marks'!W10</x:f>
        <x:v>50</x:v>
      </x:c>
      <x:c r="E143" s="22" t="str">
        <x:v>'and others' author listing and an uncited Godfray reference weaken correspondence; no typography deduction.</x:v>
      </x:c>
    </x:row>
    <x:row r="144" ht="62" customHeight="1">
      <x:c r="A144" s="2" t="str">
        <x:v>Participant_555065_assignsubmission_file</x:v>
      </x:c>
      <x:c r="B144" s="2" t="str">
        <x:v>C4G</x:v>
      </x:c>
      <x:c r="C144" s="23" t="n">
        <x:v>1</x:v>
      </x:c>
      <x:c r="D144" s="25" t="n">
        <x:f>'Subcriterion marks'!X10</x:f>
        <x:v>75</x:v>
      </x:c>
      <x:c r="E144" s="4" t="str">
        <x:v>approximately 1,498 blog words and correct one-paragraph Methods structure.</x:v>
      </x:c>
    </x:row>
    <x:row r="145" ht="62" customHeight="1">
      <x:c r="A145" s="8" t="str">
        <x:v>Participant_555065_assignsubmission_file</x:v>
      </x:c>
      <x:c r="B145" s="8" t="str">
        <x:v>C5A</x:v>
      </x:c>
      <x:c r="C145" s="24" t="n">
        <x:v>0.5</x:v>
      </x:c>
      <x:c r="D145" s="26" t="n">
        <x:f>'Subcriterion marks'!Y10</x:f>
        <x:v>55</x:v>
      </x:c>
      <x:c r="E145" s="22" t="str">
        <x:v>eight relevant references, including one not visibly cited.</x:v>
      </x:c>
    </x:row>
    <x:row r="146" ht="62" customHeight="1">
      <x:c r="A146" s="2" t="str">
        <x:v>Participant_555065_assignsubmission_file</x:v>
      </x:c>
      <x:c r="B146" s="2" t="str">
        <x:v>C5B</x:v>
      </x:c>
      <x:c r="C146" s="23" t="n">
        <x:v>1</x:v>
      </x:c>
      <x:c r="D146" s="25" t="n">
        <x:f>'Subcriterion marks'!Z10</x:f>
        <x:v>75</x:v>
      </x:c>
      <x:c r="E146" s="4" t="str">
        <x:v>predominantly scholarly sources.</x:v>
      </x:c>
    </x:row>
    <x:row r="147" ht="62" customHeight="1">
      <x:c r="A147" s="8" t="str">
        <x:v>Participant_555065_assignsubmission_file</x:v>
      </x:c>
      <x:c r="B147" s="8" t="str">
        <x:v>C5C</x:v>
      </x:c>
      <x:c r="C147" s="24" t="n">
        <x:v>1</x:v>
      </x:c>
      <x:c r="D147" s="26" t="n">
        <x:f>'Subcriterion marks'!AA10</x:f>
        <x:v>70</x:v>
      </x:c>
      <x:c r="E147" s="22" t="str">
        <x:v>current research and foundational argumentation.</x:v>
      </x:c>
    </x:row>
    <x:row r="148" ht="62" customHeight="1">
      <x:c r="A148" s="2" t="str">
        <x:v>Participant_555065_assignsubmission_file</x:v>
      </x:c>
      <x:c r="B148" s="2" t="str">
        <x:v>C5D</x:v>
      </x:c>
      <x:c r="C148" s="23" t="n">
        <x:v>1</x:v>
      </x:c>
      <x:c r="D148" s="25" t="n">
        <x:f>'Subcriterion marks'!AB10</x:f>
        <x:v>65</x:v>
      </x:c>
      <x:c r="E148" s="4" t="str">
        <x:v>direct environmental study complements health syntheses, though other empirical claims remain secondary.</x:v>
      </x:c>
    </x:row>
    <x:row r="149" ht="62" customHeight="1">
      <x:c r="A149" s="8" t="str">
        <x:v>Participant_555065_assignsubmission_file</x:v>
      </x:c>
      <x:c r="B149" s="8" t="str">
        <x:v>C5E</x:v>
      </x:c>
      <x:c r="C149" s="24" t="n">
        <x:v>1</x:v>
      </x:c>
      <x:c r="D149" s="26" t="n">
        <x:f>'Subcriterion marks'!AC10</x:f>
        <x:v>70</x:v>
      </x:c>
      <x:c r="E149" s="22" t="str">
        <x:v>relevant meta-analyses and scoping review.</x:v>
      </x:c>
    </x:row>
    <x:row r="150" ht="62" customHeight="1">
      <x:c r="A150" s="2" t="str">
        <x:v>Participant_555065_assignsubmission_file</x:v>
      </x:c>
      <x:c r="B150" s="2" t="str">
        <x:v>C5F</x:v>
      </x:c>
      <x:c r="C150" s="23" t="n">
        <x:v>1</x:v>
      </x:c>
      <x:c r="D150" s="25" t="n">
        <x:f>'Subcriterion marks'!AD10</x:f>
        <x:v>70</x:v>
      </x:c>
      <x:c r="E150" s="4" t="str">
        <x:v>evidence informs a combined, qualified judgement rather than a simple list.</x:v>
      </x:c>
    </x:row>
    <x:row r="151" ht="62" customHeight="1">
      <x:c r="A151" s="8" t="str">
        <x:v>Participant_555066_assignsubmission_file</x:v>
      </x:c>
      <x:c r="B151" s="8" t="str">
        <x:v>C1A</x:v>
      </x:c>
      <x:c r="C151" s="24" t="n">
        <x:v>1</x:v>
      </x:c>
      <x:c r="D151" s="26" t="n">
        <x:f>'Subcriterion marks'!B11</x:f>
        <x:v>75</x:v>
      </x:c>
      <x:c r="E151" s="22" t="str">
        <x:v>purposeful critical-thinking, Toulmin and ELM explanation.</x:v>
      </x:c>
    </x:row>
    <x:row r="152" ht="62" customHeight="1">
      <x:c r="A152" s="2" t="str">
        <x:v>Participant_555066_assignsubmission_file</x:v>
      </x:c>
      <x:c r="B152" s="2" t="str">
        <x:v>C1B</x:v>
      </x:c>
      <x:c r="C152" s="23" t="n">
        <x:v>1</x:v>
      </x:c>
      <x:c r="D152" s="25" t="n">
        <x:f>'Subcriterion marks'!C11</x:f>
        <x:v>75</x:v>
      </x:c>
      <x:c r="E152" s="4" t="str">
        <x:v>core principles applied to evaluating evidence and assumptions.</x:v>
      </x:c>
    </x:row>
    <x:row r="153" ht="62" customHeight="1">
      <x:c r="A153" s="8" t="str">
        <x:v>Participant_555066_assignsubmission_file</x:v>
      </x:c>
      <x:c r="B153" s="8" t="str">
        <x:v>C1C</x:v>
      </x:c>
      <x:c r="C153" s="24" t="n">
        <x:v>1</x:v>
      </x:c>
      <x:c r="D153" s="26" t="n">
        <x:f>'Subcriterion marks'!D11</x:f>
        <x:v>75</x:v>
      </x:c>
      <x:c r="E153" s="22" t="str">
        <x:v>particularly clear warrant linking assisted performance to independent ability.</x:v>
      </x:c>
    </x:row>
    <x:row r="154" ht="62" customHeight="1">
      <x:c r="A154" s="2" t="str">
        <x:v>Participant_555066_assignsubmission_file</x:v>
      </x:c>
      <x:c r="B154" s="2" t="str">
        <x:v>C1D</x:v>
      </x:c>
      <x:c r="C154" s="23" t="n">
        <x:v>0</x:v>
      </x:c>
      <x:c r="D154" s="25" t="n">
        <x:f>'Subcriterion marks'!E11</x:f>
        <x:v>0</x:v>
      </x:c>
      <x:c r="E154" s="4" t="str">
        <x:v>principal reasoning form absent despite qualification.</x:v>
      </x:c>
    </x:row>
    <x:row r="155" ht="62" customHeight="1">
      <x:c r="A155" s="8" t="str">
        <x:v>Participant_555066_assignsubmission_file</x:v>
      </x:c>
      <x:c r="B155" s="8" t="str">
        <x:v>C1E</x:v>
      </x:c>
      <x:c r="C155" s="24" t="n">
        <x:v>1</x:v>
      </x:c>
      <x:c r="D155" s="26" t="n">
        <x:f>'Subcriterion marks'!F11</x:f>
        <x:v>70</x:v>
      </x:c>
      <x:c r="E155" s="22" t="str">
        <x:v>AI literacy and performance-learning distinctions are accessible and accurate.</x:v>
      </x:c>
    </x:row>
    <x:row r="156" ht="62" customHeight="1">
      <x:c r="A156" s="2" t="str">
        <x:v>Participant_555066_assignsubmission_file</x:v>
      </x:c>
      <x:c r="B156" s="2" t="str">
        <x:v>C2A</x:v>
      </x:c>
      <x:c r="C156" s="23" t="n">
        <x:v>1</x:v>
      </x:c>
      <x:c r="D156" s="25" t="n">
        <x:f>'Subcriterion marks'!G11</x:f>
        <x:v>75</x:v>
      </x:c>
      <x:c r="E156" s="4" t="str">
        <x:v>conditional integration is sustained.</x:v>
      </x:c>
    </x:row>
    <x:row r="157" ht="62" customHeight="1">
      <x:c r="A157" s="8" t="str">
        <x:v>Participant_555066_assignsubmission_file</x:v>
      </x:c>
      <x:c r="B157" s="8" t="str">
        <x:v>C2B</x:v>
      </x:c>
      <x:c r="C157" s="24" t="n">
        <x:v>1</x:v>
      </x:c>
      <x:c r="D157" s="26" t="n">
        <x:f>'Subcriterion marks'!H11</x:f>
        <x:v>70</x:v>
      </x:c>
      <x:c r="E157" s="22" t="str">
        <x:v>distinguishes larger syntheses from the limited 14-study over-reliance literature.</x:v>
      </x:c>
    </x:row>
    <x:row r="158" ht="62" customHeight="1">
      <x:c r="A158" s="2" t="str">
        <x:v>Participant_555066_assignsubmission_file</x:v>
      </x:c>
      <x:c r="B158" s="2" t="str">
        <x:v>C2C</x:v>
      </x:c>
      <x:c r="C158" s="23" t="n">
        <x:v>1</x:v>
      </x:c>
      <x:c r="D158" s="25" t="n">
        <x:f>'Subcriterion marks'!I11</x:f>
        <x:v>75</x:v>
      </x:c>
      <x:c r="E158" s="4" t="str">
        <x:v>evaluates the invalid jump from task success to independent competence and from misuse to blanket prohibition.</x:v>
      </x:c>
    </x:row>
    <x:row r="159" ht="62" customHeight="1">
      <x:c r="A159" s="8" t="str">
        <x:v>Participant_555066_assignsubmission_file</x:v>
      </x:c>
      <x:c r="B159" s="8" t="str">
        <x:v>C2D</x:v>
      </x:c>
      <x:c r="C159" s="24" t="n">
        <x:v>1</x:v>
      </x:c>
      <x:c r="D159" s="26" t="n">
        <x:f>'Subcriterion marks'!J11</x:f>
        <x:v>75</x:v>
      </x:c>
      <x:c r="E159" s="22" t="str">
        <x:v>contexts, implementation and institutional responsibility limit claims.</x:v>
      </x:c>
    </x:row>
    <x:row r="160" ht="62" customHeight="1">
      <x:c r="A160" s="2" t="str">
        <x:v>Participant_555066_assignsubmission_file</x:v>
      </x:c>
      <x:c r="B160" s="2" t="str">
        <x:v>C2E</x:v>
      </x:c>
      <x:c r="C160" s="23" t="n">
        <x:v>1</x:v>
      </x:c>
      <x:c r="D160" s="25" t="n">
        <x:f>'Subcriterion marks'!K11</x:f>
        <x:v>75</x:v>
      </x:c>
      <x:c r="E160" s="4" t="str">
        <x:v>integrity, privacy and literacy-as-cure-all objections receive developed responses.</x:v>
      </x:c>
    </x:row>
    <x:row r="161" ht="62" customHeight="1">
      <x:c r="A161" s="8" t="str">
        <x:v>Participant_555066_assignsubmission_file</x:v>
      </x:c>
      <x:c r="B161" s="8" t="str">
        <x:v>C2F</x:v>
      </x:c>
      <x:c r="C161" s="24" t="n">
        <x:v>1</x:v>
      </x:c>
      <x:c r="D161" s="26" t="n">
        <x:f>'Subcriterion marks'!L11</x:f>
        <x:v>75</x:v>
      </x:c>
      <x:c r="E161" s="22" t="str">
        <x:v>rejects false dichotomy, anecdotal overgeneralisation and myside selection.</x:v>
      </x:c>
    </x:row>
    <x:row r="162" ht="62" customHeight="1">
      <x:c r="A162" s="2" t="str">
        <x:v>Participant_555066_assignsubmission_file</x:v>
      </x:c>
      <x:c r="B162" s="2" t="str">
        <x:v>C3A</x:v>
      </x:c>
      <x:c r="C162" s="23" t="n">
        <x:v>1</x:v>
      </x:c>
      <x:c r="D162" s="25" t="n">
        <x:f>'Subcriterion marks'!M11</x:f>
        <x:v>75</x:v>
      </x:c>
      <x:c r="E162" s="4" t="str">
        <x:v>argument framework shapes claims and qualifications.</x:v>
      </x:c>
    </x:row>
    <x:row r="163" ht="62" customHeight="1">
      <x:c r="A163" s="8" t="str">
        <x:v>Participant_555066_assignsubmission_file</x:v>
      </x:c>
      <x:c r="B163" s="8" t="str">
        <x:v>C3B</x:v>
      </x:c>
      <x:c r="C163" s="24" t="n">
        <x:v>1</x:v>
      </x:c>
      <x:c r="D163" s="26" t="n">
        <x:f>'Subcriterion marks'!N11</x:f>
        <x:v>75</x:v>
      </x:c>
      <x:c r="E163" s="22" t="str">
        <x:v>explicitly explains central-route persuasion, evidence and public-facing examples through ELM.</x:v>
      </x:c>
    </x:row>
    <x:row r="164" ht="62" customHeight="1">
      <x:c r="A164" s="2" t="str">
        <x:v>Participant_555066_assignsubmission_file</x:v>
      </x:c>
      <x:c r="B164" s="2" t="str">
        <x:v>C3C</x:v>
      </x:c>
      <x:c r="C164" s="23" t="n">
        <x:v>1</x:v>
      </x:c>
      <x:c r="D164" s="25" t="n">
        <x:f>'Subcriterion marks'!O11</x:f>
        <x:v>75</x:v>
      </x:c>
      <x:c r="E164" s="4" t="str">
        <x:v>qualified, fair representation of benefits and risks.</x:v>
      </x:c>
    </x:row>
    <x:row r="165" ht="62" customHeight="1">
      <x:c r="A165" s="8" t="str">
        <x:v>Participant_555066_assignsubmission_file</x:v>
      </x:c>
      <x:c r="B165" s="8" t="str">
        <x:v>C3D</x:v>
      </x:c>
      <x:c r="C165" s="24" t="n">
        <x:v>1</x:v>
      </x:c>
      <x:c r="D165" s="26" t="n">
        <x:f>'Subcriterion marks'!P11</x:f>
        <x:v>70</x:v>
      </x:c>
      <x:c r="E165" s="22" t="str">
        <x:v>accessible blog format with a slightly conventional opening.</x:v>
      </x:c>
    </x:row>
    <x:row r="166" ht="62" customHeight="1">
      <x:c r="A166" s="2" t="str">
        <x:v>Participant_555066_assignsubmission_file</x:v>
      </x:c>
      <x:c r="B166" s="2" t="str">
        <x:v>C3E</x:v>
      </x:c>
      <x:c r="C166" s="23" t="n">
        <x:v>1</x:v>
      </x:c>
      <x:c r="D166" s="25" t="n">
        <x:f>'Subcriterion marks'!Q11</x:f>
        <x:v>75</x:v>
      </x:c>
      <x:c r="E166" s="4" t="str">
        <x:v>clear, relevant and proportionate information.</x:v>
      </x:c>
    </x:row>
    <x:row r="167" ht="62" customHeight="1">
      <x:c r="A167" s="8" t="str">
        <x:v>Participant_555066_assignsubmission_file</x:v>
      </x:c>
      <x:c r="B167" s="8" t="str">
        <x:v>C4A</x:v>
      </x:c>
      <x:c r="C167" s="24" t="n">
        <x:v>1</x:v>
      </x:c>
      <x:c r="D167" s="26" t="n">
        <x:f>'Subcriterion marks'!R11</x:f>
        <x:v>70</x:v>
      </x:c>
      <x:c r="E167" s="22" t="str">
        <x:v>readable with occasional repetition.</x:v>
      </x:c>
    </x:row>
    <x:row r="168" ht="62" customHeight="1">
      <x:c r="A168" s="2" t="str">
        <x:v>Participant_555066_assignsubmission_file</x:v>
      </x:c>
      <x:c r="B168" s="2" t="str">
        <x:v>C4B</x:v>
      </x:c>
      <x:c r="C168" s="23" t="n">
        <x:v>1</x:v>
      </x:c>
      <x:c r="D168" s="25" t="n">
        <x:f>'Subcriterion marks'!S11</x:f>
        <x:v>75</x:v>
      </x:c>
      <x:c r="E168" s="4" t="str">
        <x:v>clear movement from evidence through objections to institutional response.</x:v>
      </x:c>
    </x:row>
    <x:row r="169" ht="62" customHeight="1">
      <x:c r="A169" s="8" t="str">
        <x:v>Participant_555066_assignsubmission_file</x:v>
      </x:c>
      <x:c r="B169" s="8" t="str">
        <x:v>C4C</x:v>
      </x:c>
      <x:c r="C169" s="24" t="n">
        <x:v>1</x:v>
      </x:c>
      <x:c r="D169" s="26" t="n">
        <x:f>'Subcriterion marks'!T11</x:f>
        <x:v>75</x:v>
      </x:c>
      <x:c r="E169" s="22" t="str">
        <x:v>conclusion synthesises a conditional position.</x:v>
      </x:c>
    </x:row>
    <x:row r="170" ht="62" customHeight="1">
      <x:c r="A170" s="2" t="str">
        <x:v>Participant_555066_assignsubmission_file</x:v>
      </x:c>
      <x:c r="B170" s="2" t="str">
        <x:v>C4D</x:v>
      </x:c>
      <x:c r="C170" s="23" t="n">
        <x:v>1</x:v>
      </x:c>
      <x:c r="D170" s="25" t="n">
        <x:f>'Subcriterion marks'!U11</x:f>
        <x:v>75</x:v>
      </x:c>
      <x:c r="E170" s="4" t="str">
        <x:v>assessment and student-use scenarios clarify the distinctions.</x:v>
      </x:c>
    </x:row>
    <x:row r="171" ht="62" customHeight="1">
      <x:c r="A171" s="8" t="str">
        <x:v>Participant_555066_assignsubmission_file</x:v>
      </x:c>
      <x:c r="B171" s="8" t="str">
        <x:v>C4E</x:v>
      </x:c>
      <x:c r="C171" s="24" t="n">
        <x:v>1</x:v>
      </x:c>
      <x:c r="D171" s="26" t="n">
        <x:f>'Subcriterion marks'!V11</x:f>
        <x:v>70</x:v>
      </x:c>
      <x:c r="E171" s="22" t="str">
        <x:v>minor possessive/grammar lapses without sustained problems.</x:v>
      </x:c>
    </x:row>
    <x:row r="172" ht="62" customHeight="1">
      <x:c r="A172" s="2" t="str">
        <x:v>Participant_555066_assignsubmission_file</x:v>
      </x:c>
      <x:c r="B172" s="2" t="str">
        <x:v>C4F</x:v>
      </x:c>
      <x:c r="C172" s="23" t="n">
        <x:v>0.5</x:v>
      </x:c>
      <x:c r="D172" s="25" t="n">
        <x:f>'Subcriterion marks'!W11</x:f>
        <x:v>55</x:v>
      </x:c>
      <x:c r="E172" s="4" t="str">
        <x:v>narrative references use nonstandard author forms and some DOI/details need checking; no penalty solely for APA edition.</x:v>
      </x:c>
    </x:row>
    <x:row r="173" ht="62" customHeight="1">
      <x:c r="A173" s="8" t="str">
        <x:v>Participant_555066_assignsubmission_file</x:v>
      </x:c>
      <x:c r="B173" s="8" t="str">
        <x:v>C4G</x:v>
      </x:c>
      <x:c r="C173" s="24" t="n">
        <x:v>1</x:v>
      </x:c>
      <x:c r="D173" s="26" t="n">
        <x:f>'Subcriterion marks'!X11</x:f>
        <x:v>75</x:v>
      </x:c>
      <x:c r="E173" s="22" t="str">
        <x:v>approximately 1,520 words and required structure.</x:v>
      </x:c>
    </x:row>
    <x:row r="174" ht="62" customHeight="1">
      <x:c r="A174" s="2" t="str">
        <x:v>Participant_555066_assignsubmission_file</x:v>
      </x:c>
      <x:c r="B174" s="2" t="str">
        <x:v>C5A</x:v>
      </x:c>
      <x:c r="C174" s="23" t="n">
        <x:v>1</x:v>
      </x:c>
      <x:c r="D174" s="25" t="n">
        <x:f>'Subcriterion marks'!Y11</x:f>
        <x:v>65</x:v>
      </x:c>
      <x:c r="E174" s="4" t="str">
        <x:v>ten relevant references.</x:v>
      </x:c>
    </x:row>
    <x:row r="175" ht="62" customHeight="1">
      <x:c r="A175" s="8" t="str">
        <x:v>Participant_555066_assignsubmission_file</x:v>
      </x:c>
      <x:c r="B175" s="8" t="str">
        <x:v>C5B</x:v>
      </x:c>
      <x:c r="C175" s="24" t="n">
        <x:v>1</x:v>
      </x:c>
      <x:c r="D175" s="26" t="n">
        <x:f>'Subcriterion marks'!Z11</x:f>
        <x:v>75</x:v>
      </x:c>
      <x:c r="E175" s="22" t="str">
        <x:v>strong scholarly and institutional evidence base.</x:v>
      </x:c>
    </x:row>
    <x:row r="176" ht="62" customHeight="1">
      <x:c r="A176" s="2" t="str">
        <x:v>Participant_555066_assignsubmission_file</x:v>
      </x:c>
      <x:c r="B176" s="2" t="str">
        <x:v>C5C</x:v>
      </x:c>
      <x:c r="C176" s="23" t="n">
        <x:v>1</x:v>
      </x:c>
      <x:c r="D176" s="25" t="n">
        <x:f>'Subcriterion marks'!AA11</x:f>
        <x:v>75</x:v>
      </x:c>
      <x:c r="E176" s="4" t="str">
        <x:v>recent AI research and foundational persuasion/argumentation theory.</x:v>
      </x:c>
    </x:row>
    <x:row r="177" ht="62" customHeight="1">
      <x:c r="A177" s="8" t="str">
        <x:v>Participant_555066_assignsubmission_file</x:v>
      </x:c>
      <x:c r="B177" s="8" t="str">
        <x:v>C5D</x:v>
      </x:c>
      <x:c r="C177" s="24" t="n">
        <x:v>0.5</x:v>
      </x:c>
      <x:c r="D177" s="26" t="n">
        <x:f>'Subcriterion marks'!AB11</x:f>
        <x:v>45</x:v>
      </x:c>
      <x:c r="E177" s="22" t="str">
        <x:v>primary bias research is cited, but central educational claims rely on syntheses and commentary.</x:v>
      </x:c>
    </x:row>
    <x:row r="178" ht="62" customHeight="1">
      <x:c r="A178" s="2" t="str">
        <x:v>Participant_555066_assignsubmission_file</x:v>
      </x:c>
      <x:c r="B178" s="2" t="str">
        <x:v>C5E</x:v>
      </x:c>
      <x:c r="C178" s="23" t="n">
        <x:v>1</x:v>
      </x:c>
      <x:c r="D178" s="25" t="n">
        <x:f>'Subcriterion marks'!AC11</x:f>
        <x:v>75</x:v>
      </x:c>
      <x:c r="E178" s="4" t="str">
        <x:v>multiple relevant systematic reviews/meta-analyses.</x:v>
      </x:c>
    </x:row>
    <x:row r="179" ht="62" customHeight="1">
      <x:c r="A179" s="8" t="str">
        <x:v>Participant_555066_assignsubmission_file</x:v>
      </x:c>
      <x:c r="B179" s="8" t="str">
        <x:v>C5F</x:v>
      </x:c>
      <x:c r="C179" s="24" t="n">
        <x:v>1</x:v>
      </x:c>
      <x:c r="D179" s="26" t="n">
        <x:f>'Subcriterion marks'!AD11</x:f>
        <x:v>75</x:v>
      </x:c>
      <x:c r="E179" s="22" t="str">
        <x:v>compares supportive and cautionary evidence to derive a bounded conclusion.</x:v>
      </x:c>
    </x:row>
    <x:row r="180" ht="62" customHeight="1">
      <x:c r="A180" s="2" t="str">
        <x:v>Participant_555069_assignsubmission_file</x:v>
      </x:c>
      <x:c r="B180" s="2" t="str">
        <x:v>C1A</x:v>
      </x:c>
      <x:c r="C180" s="23" t="n">
        <x:v>0.5</x:v>
      </x:c>
      <x:c r="D180" s="25" t="n">
        <x:f>'Subcriterion marks'!B12</x:f>
        <x:v>50</x:v>
      </x:c>
      <x:c r="E180" s="4" t="str">
        <x:v>explains general balance and open-mindedness but little developed critical-thinking method.</x:v>
      </x:c>
    </x:row>
    <x:row r="181" ht="62" customHeight="1">
      <x:c r="A181" s="8" t="str">
        <x:v>Participant_555069_assignsubmission_file</x:v>
      </x:c>
      <x:c r="B181" s="8" t="str">
        <x:v>C1B</x:v>
      </x:c>
      <x:c r="C181" s="24" t="n">
        <x:v>0.5</x:v>
      </x:c>
      <x:c r="D181" s="26" t="n">
        <x:f>'Subcriterion marks'!C12</x:f>
        <x:v>45</x:v>
      </x:c>
      <x:c r="E181" s="22" t="str">
        <x:v>core text appears mainly as a generic concluding attribution.</x:v>
      </x:c>
    </x:row>
    <x:row r="182" ht="62" customHeight="1">
      <x:c r="A182" s="2" t="str">
        <x:v>Participant_555069_assignsubmission_file</x:v>
      </x:c>
      <x:c r="B182" s="2" t="str">
        <x:v>C1C</x:v>
      </x:c>
      <x:c r="C182" s="23" t="n">
        <x:v>0.5</x:v>
      </x:c>
      <x:c r="D182" s="25" t="n">
        <x:f>'Subcriterion marks'!D12</x:f>
        <x:v>50</x:v>
      </x:c>
      <x:c r="E182" s="4" t="str">
        <x:v>reasons and final claim are identifiable, with limited warrants/qualifier analysis.</x:v>
      </x:c>
    </x:row>
    <x:row r="183" ht="62" customHeight="1">
      <x:c r="A183" s="8" t="str">
        <x:v>Participant_555069_assignsubmission_file</x:v>
      </x:c>
      <x:c r="B183" s="8" t="str">
        <x:v>C1D</x:v>
      </x:c>
      <x:c r="C183" s="24" t="n">
        <x:v>0</x:v>
      </x:c>
      <x:c r="D183" s="26" t="n">
        <x:f>'Subcriterion marks'!E12</x:f>
        <x:v>25</x:v>
      </x:c>
      <x:c r="E183" s="22" t="str">
        <x:v>empirical weighing is called deductive without a valid deductive account.</x:v>
      </x:c>
    </x:row>
    <x:row r="184" ht="62" customHeight="1">
      <x:c r="A184" s="2" t="str">
        <x:v>Participant_555069_assignsubmission_file</x:v>
      </x:c>
      <x:c r="B184" s="2" t="str">
        <x:v>C1E</x:v>
      </x:c>
      <x:c r="C184" s="23" t="n">
        <x:v>0.5</x:v>
      </x:c>
      <x:c r="D184" s="25" t="n">
        <x:f>'Subcriterion marks'!F12</x:f>
        <x:v>45</x:v>
      </x:c>
      <x:c r="E184" s="4" t="str">
        <x:v>undefined nutrient abbreviations and unclear risk/statistical language reduce accuracy.</x:v>
      </x:c>
    </x:row>
    <x:row r="185" ht="62" customHeight="1">
      <x:c r="A185" s="8" t="str">
        <x:v>Participant_555069_assignsubmission_file</x:v>
      </x:c>
      <x:c r="B185" s="8" t="str">
        <x:v>C2A</x:v>
      </x:c>
      <x:c r="C185" s="24" t="n">
        <x:v>1</x:v>
      </x:c>
      <x:c r="D185" s="26" t="n">
        <x:f>'Subcriterion marks'!G12</x:f>
        <x:v>60</x:v>
      </x:c>
      <x:c r="E185" s="22" t="str">
        <x:v>recognisable thematic progression towards reducing meat, although the 'neither side right or wrong regardless of evidence' statement weakens the basis.</x:v>
      </x:c>
    </x:row>
    <x:row r="186" ht="62" customHeight="1">
      <x:c r="A186" s="2" t="str">
        <x:v>Participant_555069_assignsubmission_file</x:v>
      </x:c>
      <x:c r="B186" s="2" t="str">
        <x:v>C2B</x:v>
      </x:c>
      <x:c r="C186" s="23" t="n">
        <x:v>0.5</x:v>
      </x:c>
      <x:c r="D186" s="25" t="n">
        <x:f>'Subcriterion marks'!H12</x:f>
        <x:v>45</x:v>
      </x:c>
      <x:c r="E186" s="4" t="str">
        <x:v>substantial relevant reading, but credibility is asserted and some numerical interpretations are unclear.</x:v>
      </x:c>
    </x:row>
    <x:row r="187" ht="62" customHeight="1">
      <x:c r="A187" s="8" t="str">
        <x:v>Participant_555069_assignsubmission_file</x:v>
      </x:c>
      <x:c r="B187" s="8" t="str">
        <x:v>C2C</x:v>
      </x:c>
      <x:c r="C187" s="24" t="n">
        <x:v>0</x:v>
      </x:c>
      <x:c r="D187" s="26" t="n">
        <x:f>'Subcriterion marks'!I12</x:f>
        <x:v>25</x:v>
      </x:c>
      <x:c r="E187" s="22" t="str">
        <x:v>causal wording and generalisation exceed the evidence, with little scrutiny of alternatives.</x:v>
      </x:c>
    </x:row>
    <x:row r="188" ht="62" customHeight="1">
      <x:c r="A188" s="2" t="str">
        <x:v>Participant_555069_assignsubmission_file</x:v>
      </x:c>
      <x:c r="B188" s="2" t="str">
        <x:v>C2D</x:v>
      </x:c>
      <x:c r="C188" s="23" t="n">
        <x:v>0.5</x:v>
      </x:c>
      <x:c r="D188" s="25" t="n">
        <x:f>'Subcriterion marks'!J12</x:f>
        <x:v>45</x:v>
      </x:c>
      <x:c r="E188" s="4" t="str">
        <x:v>planning and welfare variation are recognised, but research limitations receive little analysis.</x:v>
      </x:c>
    </x:row>
    <x:row r="189" ht="62" customHeight="1">
      <x:c r="A189" s="8" t="str">
        <x:v>Participant_555069_assignsubmission_file</x:v>
      </x:c>
      <x:c r="B189" s="8" t="str">
        <x:v>C2E</x:v>
      </x:c>
      <x:c r="C189" s="24" t="n">
        <x:v>0.5</x:v>
      </x:c>
      <x:c r="D189" s="26" t="n">
        <x:f>'Subcriterion marks'!K12</x:f>
        <x:v>50</x:v>
      </x:c>
      <x:c r="E189" s="22" t="str">
        <x:v>opposing points are largely juxtaposed rather than resolved.</x:v>
      </x:c>
    </x:row>
    <x:row r="190" ht="62" customHeight="1">
      <x:c r="A190" s="2" t="str">
        <x:v>Participant_555069_assignsubmission_file</x:v>
      </x:c>
      <x:c r="B190" s="2" t="str">
        <x:v>C2F</x:v>
      </x:c>
      <x:c r="C190" s="23" t="n">
        <x:v>0.5</x:v>
      </x:c>
      <x:c r="D190" s="25" t="n">
        <x:f>'Subcriterion marks'!L12</x:f>
        <x:v>45</x:v>
      </x:c>
      <x:c r="E190" s="4" t="str">
        <x:v>confirmation bias is named, while selective or overgeneralised claims persist.</x:v>
      </x:c>
    </x:row>
    <x:row r="191" ht="62" customHeight="1">
      <x:c r="A191" s="8" t="str">
        <x:v>Participant_555069_assignsubmission_file</x:v>
      </x:c>
      <x:c r="B191" s="8" t="str">
        <x:v>C3A</x:v>
      </x:c>
      <x:c r="C191" s="24" t="n">
        <x:v>0.5</x:v>
      </x:c>
      <x:c r="D191" s="26" t="n">
        <x:f>'Subcriterion marks'!M12</x:f>
        <x:v>45</x:v>
      </x:c>
      <x:c r="E191" s="22" t="str">
        <x:v>generic balancing rather than a clearly applied argument framework.</x:v>
      </x:c>
    </x:row>
    <x:row r="192" ht="62" customHeight="1">
      <x:c r="A192" s="2" t="str">
        <x:v>Participant_555069_assignsubmission_file</x:v>
      </x:c>
      <x:c r="B192" s="2" t="str">
        <x:v>C3B</x:v>
      </x:c>
      <x:c r="C192" s="23" t="n">
        <x:v>0.5</x:v>
      </x:c>
      <x:c r="D192" s="25" t="n">
        <x:f>'Subcriterion marks'!N12</x:f>
        <x:v>45</x:v>
      </x:c>
      <x:c r="E192" s="4" t="str">
        <x:v>examples and multiple perspectives are present, with little evidence-based persuasion explanation.</x:v>
      </x:c>
    </x:row>
    <x:row r="193" ht="62" customHeight="1">
      <x:c r="A193" s="8" t="str">
        <x:v>Participant_555069_assignsubmission_file</x:v>
      </x:c>
      <x:c r="B193" s="8" t="str">
        <x:v>C3C</x:v>
      </x:c>
      <x:c r="C193" s="24" t="n">
        <x:v>0.5</x:v>
      </x:c>
      <x:c r="D193" s="26" t="n">
        <x:f>'Subcriterion marks'!O12</x:f>
        <x:v>45</x:v>
      </x:c>
      <x:c r="E193" s="22" t="str">
        <x:v>emotive welfare language and unsupported categorical claims weaken fairness.</x:v>
      </x:c>
    </x:row>
    <x:row r="194" ht="62" customHeight="1">
      <x:c r="A194" s="2" t="str">
        <x:v>Participant_555069_assignsubmission_file</x:v>
      </x:c>
      <x:c r="B194" s="2" t="str">
        <x:v>C3D</x:v>
      </x:c>
      <x:c r="C194" s="23" t="n">
        <x:v>1</x:v>
      </x:c>
      <x:c r="D194" s="25" t="n">
        <x:f>'Subcriterion marks'!P12</x:f>
        <x:v>65</x:v>
      </x:c>
      <x:c r="E194" s="4" t="str">
        <x:v>clear blog headings and accessible topical framing.</x:v>
      </x:c>
    </x:row>
    <x:row r="195" ht="62" customHeight="1">
      <x:c r="A195" s="8" t="str">
        <x:v>Participant_555069_assignsubmission_file</x:v>
      </x:c>
      <x:c r="B195" s="8" t="str">
        <x:v>C3E</x:v>
      </x:c>
      <x:c r="C195" s="24" t="n">
        <x:v>0.5</x:v>
      </x:c>
      <x:c r="D195" s="26" t="n">
        <x:f>'Subcriterion marks'!Q12</x:f>
        <x:v>45</x:v>
      </x:c>
      <x:c r="E195" s="22" t="str">
        <x:v>several claims risk misleading through unclear denominators, units or causal implication.</x:v>
      </x:c>
    </x:row>
    <x:row r="196" ht="62" customHeight="1">
      <x:c r="A196" s="2" t="str">
        <x:v>Participant_555069_assignsubmission_file</x:v>
      </x:c>
      <x:c r="B196" s="2" t="str">
        <x:v>C4A</x:v>
      </x:c>
      <x:c r="C196" s="23" t="n">
        <x:v>0.5</x:v>
      </x:c>
      <x:c r="D196" s="25" t="n">
        <x:f>'Subcriterion marks'!R12</x:f>
        <x:v>50</x:v>
      </x:c>
      <x:c r="E196" s="4" t="str">
        <x:v>awkward transitions and vague/statistical phrasing.</x:v>
      </x:c>
    </x:row>
    <x:row r="197" ht="62" customHeight="1">
      <x:c r="A197" s="8" t="str">
        <x:v>Participant_555069_assignsubmission_file</x:v>
      </x:c>
      <x:c r="B197" s="8" t="str">
        <x:v>C4B</x:v>
      </x:c>
      <x:c r="C197" s="24" t="n">
        <x:v>1</x:v>
      </x:c>
      <x:c r="D197" s="26" t="n">
        <x:f>'Subcriterion marks'!S12</x:f>
        <x:v>65</x:v>
      </x:c>
      <x:c r="E197" s="22" t="str">
        <x:v>clear health/environment/welfare/economics/culture sequence.</x:v>
      </x:c>
    </x:row>
    <x:row r="198" ht="62" customHeight="1">
      <x:c r="A198" s="2" t="str">
        <x:v>Participant_555069_assignsubmission_file</x:v>
      </x:c>
      <x:c r="B198" s="2" t="str">
        <x:v>C4C</x:v>
      </x:c>
      <x:c r="C198" s="23" t="n">
        <x:v>1</x:v>
      </x:c>
      <x:c r="D198" s="25" t="n">
        <x:f>'Subcriterion marks'!T12</x:f>
        <x:v>60</x:v>
      </x:c>
      <x:c r="E198" s="4" t="str">
        <x:v>conclusion answers the question, though how considerations are weighed remains limited.</x:v>
      </x:c>
    </x:row>
    <x:row r="199" ht="62" customHeight="1">
      <x:c r="A199" s="8" t="str">
        <x:v>Participant_555069_assignsubmission_file</x:v>
      </x:c>
      <x:c r="B199" s="8" t="str">
        <x:v>C4D</x:v>
      </x:c>
      <x:c r="C199" s="24" t="n">
        <x:v>1</x:v>
      </x:c>
      <x:c r="D199" s="26" t="n">
        <x:f>'Subcriterion marks'!U12</x:f>
        <x:v>65</x:v>
      </x:c>
      <x:c r="E199" s="22" t="str">
        <x:v>food and welfare examples make issues concrete.</x:v>
      </x:c>
    </x:row>
    <x:row r="200" ht="62" customHeight="1">
      <x:c r="A200" s="2" t="str">
        <x:v>Participant_555069_assignsubmission_file</x:v>
      </x:c>
      <x:c r="B200" s="2" t="str">
        <x:v>C4E</x:v>
      </x:c>
      <x:c r="C200" s="23" t="n">
        <x:v>0.5</x:v>
      </x:c>
      <x:c r="D200" s="25" t="n">
        <x:f>'Subcriterion marks'!V12</x:f>
        <x:v>45</x:v>
      </x:c>
      <x:c r="E200" s="4" t="str">
        <x:v>recurrent grammar, sentence fragments and punctuation lapses.</x:v>
      </x:c>
    </x:row>
    <x:row r="201" ht="62" customHeight="1">
      <x:c r="A201" s="8" t="str">
        <x:v>Participant_555069_assignsubmission_file</x:v>
      </x:c>
      <x:c r="B201" s="8" t="str">
        <x:v>C4F</x:v>
      </x:c>
      <x:c r="C201" s="24" t="n">
        <x:v>0.5</x:v>
      </x:c>
      <x:c r="D201" s="26" t="n">
        <x:f>'Subcriterion marks'!W12</x:f>
        <x:v>45</x:v>
      </x:c>
      <x:c r="E201" s="22" t="str">
        <x:v>author-name, title-capitalisation and DOI/reference inconsistencies.</x:v>
      </x:c>
    </x:row>
    <x:row r="202" ht="62" customHeight="1">
      <x:c r="A202" s="2" t="str">
        <x:v>Participant_555069_assignsubmission_file</x:v>
      </x:c>
      <x:c r="B202" s="2" t="str">
        <x:v>C4G</x:v>
      </x:c>
      <x:c r="C202" s="23" t="n">
        <x:v>1</x:v>
      </x:c>
      <x:c r="D202" s="25" t="n">
        <x:f>'Subcriterion marks'!X12</x:f>
        <x:v>75</x:v>
      </x:c>
      <x:c r="E202" s="4" t="str">
        <x:v>approximately 1,507 words with required sequence and one Methods paragraph.</x:v>
      </x:c>
    </x:row>
    <x:row r="203" ht="62" customHeight="1">
      <x:c r="A203" s="8" t="str">
        <x:v>Participant_555069_assignsubmission_file</x:v>
      </x:c>
      <x:c r="B203" s="8" t="str">
        <x:v>C5A</x:v>
      </x:c>
      <x:c r="C203" s="24" t="n">
        <x:v>1</x:v>
      </x:c>
      <x:c r="D203" s="26" t="n">
        <x:f>'Subcriterion marks'!Y12</x:f>
        <x:v>75</x:v>
      </x:c>
      <x:c r="E203" s="22" t="str">
        <x:v>fourteen substantive sources provide breadth.</x:v>
      </x:c>
    </x:row>
    <x:row r="204" ht="62" customHeight="1">
      <x:c r="A204" s="2" t="str">
        <x:v>Participant_555069_assignsubmission_file</x:v>
      </x:c>
      <x:c r="B204" s="2" t="str">
        <x:v>C5B</x:v>
      </x:c>
      <x:c r="C204" s="23" t="n">
        <x:v>1</x:v>
      </x:c>
      <x:c r="D204" s="25" t="n">
        <x:f>'Subcriterion marks'!Z12</x:f>
        <x:v>65</x:v>
      </x:c>
      <x:c r="E204" s="4" t="str">
        <x:v>majority academic, alongside institutional/popular summaries.</x:v>
      </x:c>
    </x:row>
    <x:row r="205" ht="62" customHeight="1">
      <x:c r="A205" s="8" t="str">
        <x:v>Participant_555069_assignsubmission_file</x:v>
      </x:c>
      <x:c r="B205" s="8" t="str">
        <x:v>C5C</x:v>
      </x:c>
      <x:c r="C205" s="24" t="n">
        <x:v>1</x:v>
      </x:c>
      <x:c r="D205" s="26" t="n">
        <x:f>'Subcriterion marks'!AA12</x:f>
        <x:v>65</x:v>
      </x:c>
      <x:c r="E205" s="22" t="str">
        <x:v>reasonable recent and earlier coverage.</x:v>
      </x:c>
    </x:row>
    <x:row r="206" ht="62" customHeight="1">
      <x:c r="A206" s="2" t="str">
        <x:v>Participant_555069_assignsubmission_file</x:v>
      </x:c>
      <x:c r="B206" s="2" t="str">
        <x:v>C5D</x:v>
      </x:c>
      <x:c r="C206" s="23" t="n">
        <x:v>0.5</x:v>
      </x:c>
      <x:c r="D206" s="25" t="n">
        <x:f>'Subcriterion marks'!AB12</x:f>
        <x:v>50</x:v>
      </x:c>
      <x:c r="E206" s="4" t="str">
        <x:v>some direct research, but major claims are traced through secondary summaries or misattributed study descriptions.</x:v>
      </x:c>
    </x:row>
    <x:row r="207" ht="62" customHeight="1">
      <x:c r="A207" s="8" t="str">
        <x:v>Participant_555069_assignsubmission_file</x:v>
      </x:c>
      <x:c r="B207" s="8" t="str">
        <x:v>C5E</x:v>
      </x:c>
      <x:c r="C207" s="24" t="n">
        <x:v>1</x:v>
      </x:c>
      <x:c r="D207" s="26" t="n">
        <x:f>'Subcriterion marks'!AC12</x:f>
        <x:v>60</x:v>
      </x:c>
      <x:c r="E207" s="22" t="str">
        <x:v>scholarly reviews contribute evidence.</x:v>
      </x:c>
    </x:row>
    <x:row r="208" ht="62" customHeight="1">
      <x:c r="A208" s="2" t="str">
        <x:v>Participant_555069_assignsubmission_file</x:v>
      </x:c>
      <x:c r="B208" s="2" t="str">
        <x:v>C5F</x:v>
      </x:c>
      <x:c r="C208" s="23" t="n">
        <x:v>0.5</x:v>
      </x:c>
      <x:c r="D208" s="25" t="n">
        <x:f>'Subcriterion marks'!AD12</x:f>
        <x:v>45</x:v>
      </x:c>
      <x:c r="E208" s="4" t="str">
        <x:v>sources are mostly reported successively rather than critically compared.</x:v>
      </x:c>
    </x:row>
    <x:row r="209" ht="62" customHeight="1">
      <x:c r="A209" s="8" t="str">
        <x:v>Participant_555070_assignsubmission_file</x:v>
      </x:c>
      <x:c r="B209" s="8" t="str">
        <x:v>C1A</x:v>
      </x:c>
      <x:c r="C209" s="24" t="n">
        <x:v>0.5</x:v>
      </x:c>
      <x:c r="D209" s="26" t="n">
        <x:f>'Subcriterion marks'!B13</x:f>
        <x:v>55</x:v>
      </x:c>
      <x:c r="E209" s="22" t="str">
        <x:v>purposeful methods discussion, but simplified System 1 claims and fallacy labelling weaken accuracy.</x:v>
      </x:c>
    </x:row>
    <x:row r="210" ht="62" customHeight="1">
      <x:c r="A210" s="2" t="str">
        <x:v>Participant_555070_assignsubmission_file</x:v>
      </x:c>
      <x:c r="B210" s="2" t="str">
        <x:v>C1B</x:v>
      </x:c>
      <x:c r="C210" s="23" t="n">
        <x:v>1</x:v>
      </x:c>
      <x:c r="D210" s="25" t="n">
        <x:f>'Subcriterion marks'!C13</x:f>
        <x:v>65</x:v>
      </x:c>
      <x:c r="E210" s="4" t="str">
        <x:v>the sixth-edition DOI identifies the core text despite Dunn being mislabelled as editor; concepts are substantively used.</x:v>
      </x:c>
    </x:row>
    <x:row r="211" ht="62" customHeight="1">
      <x:c r="A211" s="8" t="str">
        <x:v>Participant_555070_assignsubmission_file</x:v>
      </x:c>
      <x:c r="B211" s="8" t="str">
        <x:v>C1C</x:v>
      </x:c>
      <x:c r="C211" s="24" t="n">
        <x:v>0.5</x:v>
      </x:c>
      <x:c r="D211" s="26" t="n">
        <x:f>'Subcriterion marks'!D13</x:f>
        <x:v>50</x:v>
      </x:c>
      <x:c r="E211" s="22" t="str">
        <x:v>data/warrant/claim are understood, but the listed rebuttal is an exhortation rather than a rebuttal condition.</x:v>
      </x:c>
    </x:row>
    <x:row r="212" ht="62" customHeight="1">
      <x:c r="A212" s="2" t="str">
        <x:v>Participant_555070_assignsubmission_file</x:v>
      </x:c>
      <x:c r="B212" s="2" t="str">
        <x:v>C1D</x:v>
      </x:c>
      <x:c r="C212" s="23" t="n">
        <x:v>0</x:v>
      </x:c>
      <x:c r="D212" s="25" t="n">
        <x:f>'Subcriterion marks'!E13</x:f>
        <x:v>0</x:v>
      </x:c>
      <x:c r="E212" s="4" t="str">
        <x:v>no principal reasoning form identified.</x:v>
      </x:c>
    </x:row>
    <x:row r="213" ht="62" customHeight="1">
      <x:c r="A213" s="8" t="str">
        <x:v>Participant_555070_assignsubmission_file</x:v>
      </x:c>
      <x:c r="B213" s="8" t="str">
        <x:v>C1E</x:v>
      </x:c>
      <x:c r="C213" s="24" t="n">
        <x:v>0.5</x:v>
      </x:c>
      <x:c r="D213" s="26" t="n">
        <x:f>'Subcriterion marks'!F13</x:f>
        <x:v>50</x:v>
      </x:c>
      <x:c r="E213" s="22" t="str">
        <x:v>useful basic definitions with important conceptual limitations.</x:v>
      </x:c>
    </x:row>
    <x:row r="214" ht="62" customHeight="1">
      <x:c r="A214" s="2" t="str">
        <x:v>Participant_555070_assignsubmission_file</x:v>
      </x:c>
      <x:c r="B214" s="2" t="str">
        <x:v>C2A</x:v>
      </x:c>
      <x:c r="C214" s="23" t="n">
        <x:v>1</x:v>
      </x:c>
      <x:c r="D214" s="25" t="n">
        <x:f>'Subcriterion marks'!G13</x:f>
        <x:v>65</x:v>
      </x:c>
      <x:c r="E214" s="4" t="str">
        <x:v>coherent harm-reduction thesis.</x:v>
      </x:c>
    </x:row>
    <x:row r="215" ht="62" customHeight="1">
      <x:c r="A215" s="8" t="str">
        <x:v>Participant_555070_assignsubmission_file</x:v>
      </x:c>
      <x:c r="B215" s="8" t="str">
        <x:v>C2B</x:v>
      </x:c>
      <x:c r="C215" s="24" t="n">
        <x:v>0.5</x:v>
      </x:c>
      <x:c r="D215" s="26" t="n">
        <x:f>'Subcriterion marks'!H13</x:f>
        <x:v>40</x:v>
      </x:c>
      <x:c r="E215" s="22" t="str">
        <x:v>one old institutional report supports much of the empirical case; many access and health claims lack evidence.</x:v>
      </x:c>
    </x:row>
    <x:row r="216" ht="62" customHeight="1">
      <x:c r="A216" s="2" t="str">
        <x:v>Participant_555070_assignsubmission_file</x:v>
      </x:c>
      <x:c r="B216" s="2" t="str">
        <x:v>C2C</x:v>
      </x:c>
      <x:c r="C216" s="23" t="n">
        <x:v>0.5</x:v>
      </x:c>
      <x:c r="D216" s="25" t="n">
        <x:f>'Subcriterion marks'!I13</x:f>
        <x:v>45</x:v>
      </x:c>
      <x:c r="E216" s="4" t="str">
        <x:v>qualifier reasoning is attempted, but universal impossibility and superiority claims overreach.</x:v>
      </x:c>
    </x:row>
    <x:row r="217" ht="62" customHeight="1">
      <x:c r="A217" s="8" t="str">
        <x:v>Participant_555070_assignsubmission_file</x:v>
      </x:c>
      <x:c r="B217" s="8" t="str">
        <x:v>C2D</x:v>
      </x:c>
      <x:c r="C217" s="24" t="n">
        <x:v>0.5</x:v>
      </x:c>
      <x:c r="D217" s="26" t="n">
        <x:f>'Subcriterion marks'!J13</x:f>
        <x:v>50</x:v>
      </x:c>
      <x:c r="E217" s="22" t="str">
        <x:v>cultural and socioeconomic boundaries are discussed without developed methodological scrutiny.</x:v>
      </x:c>
    </x:row>
    <x:row r="218" ht="62" customHeight="1">
      <x:c r="A218" s="2" t="str">
        <x:v>Participant_555070_assignsubmission_file</x:v>
      </x:c>
      <x:c r="B218" s="2" t="str">
        <x:v>C2E</x:v>
      </x:c>
      <x:c r="C218" s="23" t="n">
        <x:v>0.5</x:v>
      </x:c>
      <x:c r="D218" s="25" t="n">
        <x:f>'Subcriterion marks'!K13</x:f>
        <x:v>45</x:v>
      </x:c>
      <x:c r="E218" s="4" t="str">
        <x:v>opponents are often represented as extreme camps.</x:v>
      </x:c>
    </x:row>
    <x:row r="219" ht="62" customHeight="1">
      <x:c r="A219" s="8" t="str">
        <x:v>Participant_555070_assignsubmission_file</x:v>
      </x:c>
      <x:c r="B219" s="8" t="str">
        <x:v>C2F</x:v>
      </x:c>
      <x:c r="C219" s="24" t="n">
        <x:v>0.5</x:v>
      </x:c>
      <x:c r="D219" s="26" t="n">
        <x:f>'Subcriterion marks'!L13</x:f>
        <x:v>45</x:v>
      </x:c>
      <x:c r="E219" s="22" t="str">
        <x:v>names relevant fallacies but reproduces overgeneralisation and possible straw-person framing.</x:v>
      </x:c>
    </x:row>
    <x:row r="220" ht="62" customHeight="1">
      <x:c r="A220" s="2" t="str">
        <x:v>Participant_555070_assignsubmission_file</x:v>
      </x:c>
      <x:c r="B220" s="2" t="str">
        <x:v>C3A</x:v>
      </x:c>
      <x:c r="C220" s="23" t="n">
        <x:v>0.5</x:v>
      </x:c>
      <x:c r="D220" s="25" t="n">
        <x:f>'Subcriterion marks'!M13</x:f>
        <x:v>50</x:v>
      </x:c>
      <x:c r="E220" s="4" t="str">
        <x:v>visible Toulmin mapping is weakened by misclassified components and under-supported backing.</x:v>
      </x:c>
    </x:row>
    <x:row r="221" ht="62" customHeight="1">
      <x:c r="A221" s="8" t="str">
        <x:v>Participant_555070_assignsubmission_file</x:v>
      </x:c>
      <x:c r="B221" s="8" t="str">
        <x:v>C3B</x:v>
      </x:c>
      <x:c r="C221" s="24" t="n">
        <x:v>0.5</x:v>
      </x:c>
      <x:c r="D221" s="26" t="n">
        <x:f>'Subcriterion marks'!N13</x:f>
        <x:v>50</x:v>
      </x:c>
      <x:c r="E221" s="22" t="str">
        <x:v>vivid framing and comparisons are used, with little theoretical explanation of persuasion.</x:v>
      </x:c>
    </x:row>
    <x:row r="222" ht="62" customHeight="1">
      <x:c r="A222" s="2" t="str">
        <x:v>Participant_555070_assignsubmission_file</x:v>
      </x:c>
      <x:c r="B222" s="2" t="str">
        <x:v>C3C</x:v>
      </x:c>
      <x:c r="C222" s="23" t="n">
        <x:v>0.5</x:v>
      </x:c>
      <x:c r="D222" s="25" t="n">
        <x:f>'Subcriterion marks'!O13</x:f>
        <x:v>45</x:v>
      </x:c>
      <x:c r="E222" s="4" t="str">
        <x:v>categorical claims and polarised portrayals weaken evidential fairness.</x:v>
      </x:c>
    </x:row>
    <x:row r="223" ht="62" customHeight="1">
      <x:c r="A223" s="8" t="str">
        <x:v>Participant_555070_assignsubmission_file</x:v>
      </x:c>
      <x:c r="B223" s="8" t="str">
        <x:v>C3D</x:v>
      </x:c>
      <x:c r="C223" s="24" t="n">
        <x:v>1</x:v>
      </x:c>
      <x:c r="D223" s="26" t="n">
        <x:f>'Subcriterion marks'!P13</x:f>
        <x:v>70</x:v>
      </x:c>
      <x:c r="E223" s="22" t="str">
        <x:v>engaging public-facing voice and examples.</x:v>
      </x:c>
    </x:row>
    <x:row r="224" ht="62" customHeight="1">
      <x:c r="A224" s="2" t="str">
        <x:v>Participant_555070_assignsubmission_file</x:v>
      </x:c>
      <x:c r="B224" s="2" t="str">
        <x:v>C3E</x:v>
      </x:c>
      <x:c r="C224" s="23" t="n">
        <x:v>0.5</x:v>
      </x:c>
      <x:c r="D224" s="25" t="n">
        <x:f>'Subcriterion marks'!Q13</x:f>
        <x:v>45</x:v>
      </x:c>
      <x:c r="E224" s="4" t="str">
        <x:v>rhetoric sometimes communicates more certainty than the evidence permits.</x:v>
      </x:c>
    </x:row>
    <x:row r="225" ht="62" customHeight="1">
      <x:c r="A225" s="8" t="str">
        <x:v>Participant_555070_assignsubmission_file</x:v>
      </x:c>
      <x:c r="B225" s="8" t="str">
        <x:v>C4A</x:v>
      </x:c>
      <x:c r="C225" s="24" t="n">
        <x:v>1</x:v>
      </x:c>
      <x:c r="D225" s="26" t="n">
        <x:f>'Subcriterion marks'!R13</x:f>
        <x:v>65</x:v>
      </x:c>
      <x:c r="E225" s="22" t="str">
        <x:v>readable but sometimes emphatic or imprecise.</x:v>
      </x:c>
    </x:row>
    <x:row r="226" ht="62" customHeight="1">
      <x:c r="A226" s="2" t="str">
        <x:v>Participant_555070_assignsubmission_file</x:v>
      </x:c>
      <x:c r="B226" s="2" t="str">
        <x:v>C4B</x:v>
      </x:c>
      <x:c r="C226" s="23" t="n">
        <x:v>1</x:v>
      </x:c>
      <x:c r="D226" s="25" t="n">
        <x:f>'Subcriterion marks'!S13</x:f>
        <x:v>70</x:v>
      </x:c>
      <x:c r="E226" s="4" t="str">
        <x:v>clear progression through competing positions to a proposed model.</x:v>
      </x:c>
    </x:row>
    <x:row r="227" ht="62" customHeight="1">
      <x:c r="A227" s="8" t="str">
        <x:v>Participant_555070_assignsubmission_file</x:v>
      </x:c>
      <x:c r="B227" s="8" t="str">
        <x:v>C4C</x:v>
      </x:c>
      <x:c r="C227" s="24" t="n">
        <x:v>1</x:v>
      </x:c>
      <x:c r="D227" s="26" t="n">
        <x:f>'Subcriterion marks'!T13</x:f>
        <x:v>65</x:v>
      </x:c>
      <x:c r="E227" s="22" t="str">
        <x:v>coherent conclusion, though rhetorically stronger than the evidence.</x:v>
      </x:c>
    </x:row>
    <x:row r="228" ht="62" customHeight="1">
      <x:c r="A228" s="2" t="str">
        <x:v>Participant_555070_assignsubmission_file</x:v>
      </x:c>
      <x:c r="B228" s="2" t="str">
        <x:v>C4D</x:v>
      </x:c>
      <x:c r="C228" s="23" t="n">
        <x:v>1</x:v>
      </x:c>
      <x:c r="D228" s="25" t="n">
        <x:f>'Subcriterion marks'!U13</x:f>
        <x:v>65</x:v>
      </x:c>
      <x:c r="E228" s="4" t="str">
        <x:v>meal, food-desert and advertising examples aid comprehension.</x:v>
      </x:c>
    </x:row>
    <x:row r="229" ht="62" customHeight="1">
      <x:c r="A229" s="8" t="str">
        <x:v>Participant_555070_assignsubmission_file</x:v>
      </x:c>
      <x:c r="B229" s="8" t="str">
        <x:v>C4E</x:v>
      </x:c>
      <x:c r="C229" s="24" t="n">
        <x:v>0.5</x:v>
      </x:c>
      <x:c r="D229" s="26" t="n">
        <x:f>'Subcriterion marks'!V13</x:f>
        <x:v>50</x:v>
      </x:c>
      <x:c r="E229" s="22" t="str">
        <x:v>repeated US spelling and a visible spelling error.</x:v>
      </x:c>
    </x:row>
    <x:row r="230" ht="62" customHeight="1">
      <x:c r="A230" s="2" t="str">
        <x:v>Participant_555070_assignsubmission_file</x:v>
      </x:c>
      <x:c r="B230" s="2" t="str">
        <x:v>C4F</x:v>
      </x:c>
      <x:c r="C230" s="23" t="n">
        <x:v>0.5</x:v>
      </x:c>
      <x:c r="D230" s="25" t="n">
        <x:f>'Subcriterion marks'!W13</x:f>
        <x:v>45</x:v>
      </x:c>
      <x:c r="E230" s="4" t="str">
        <x:v>core-text authorship is incorrect and several reference details are inconsistent; no deduction for older APA conventions alone.</x:v>
      </x:c>
    </x:row>
    <x:row r="231" ht="62" customHeight="1">
      <x:c r="A231" s="8" t="str">
        <x:v>Participant_555070_assignsubmission_file</x:v>
      </x:c>
      <x:c r="B231" s="8" t="str">
        <x:v>C4G</x:v>
      </x:c>
      <x:c r="C231" s="24" t="n">
        <x:v>0.5</x:v>
      </x:c>
      <x:c r="D231" s="26" t="n">
        <x:f>'Subcriterion marks'!X13</x:f>
        <x:v>65</x:v>
      </x:c>
      <x:c r="E231" s="22" t="str">
        <x:v>correct sequence and one Methods paragraph, with a slight blog-count shortfall at approximately 1,339.</x:v>
      </x:c>
    </x:row>
    <x:row r="232" ht="62" customHeight="1">
      <x:c r="A232" s="2" t="str">
        <x:v>Participant_555070_assignsubmission_file</x:v>
      </x:c>
      <x:c r="B232" s="2" t="str">
        <x:v>C5A</x:v>
      </x:c>
      <x:c r="C232" s="23" t="n">
        <x:v>0</x:v>
      </x:c>
      <x:c r="D232" s="25" t="n">
        <x:f>'Subcriterion marks'!Y13</x:f>
        <x:v>30</x:v>
      </x:c>
      <x:c r="E232" s="4" t="str">
        <x:v>four entries with a narrow substantive research base; this is weak breadth, not an empty reference list.</x:v>
      </x:c>
    </x:row>
    <x:row r="233" ht="62" customHeight="1">
      <x:c r="A233" s="8" t="str">
        <x:v>Participant_555070_assignsubmission_file</x:v>
      </x:c>
      <x:c r="B233" s="8" t="str">
        <x:v>C5B</x:v>
      </x:c>
      <x:c r="C233" s="24" t="n">
        <x:v>0.5</x:v>
      </x:c>
      <x:c r="D233" s="26" t="n">
        <x:f>'Subcriterion marks'!Z13</x:f>
        <x:v>50</x:v>
      </x:c>
      <x:c r="E233" s="22" t="str">
        <x:v>a textbook and authoritative report alongside a video and popular blog.</x:v>
      </x:c>
    </x:row>
    <x:row r="234" ht="62" customHeight="1">
      <x:c r="A234" s="2" t="str">
        <x:v>Participant_555070_assignsubmission_file</x:v>
      </x:c>
      <x:c r="B234" s="2" t="str">
        <x:v>C5C</x:v>
      </x:c>
      <x:c r="C234" s="23" t="n">
        <x:v>0</x:v>
      </x:c>
      <x:c r="D234" s="25" t="n">
        <x:f>'Subcriterion marks'!AA13</x:f>
        <x:v>35</x:v>
      </x:c>
      <x:c r="E234" s="4" t="str">
        <x:v>no recent substantive empirical research.</x:v>
      </x:c>
    </x:row>
    <x:row r="235" ht="62" customHeight="1">
      <x:c r="A235" s="8" t="str">
        <x:v>Participant_555070_assignsubmission_file</x:v>
      </x:c>
      <x:c r="B235" s="8" t="str">
        <x:v>C5D</x:v>
      </x:c>
      <x:c r="C235" s="24" t="n">
        <x:v>0</x:v>
      </x:c>
      <x:c r="D235" s="26" t="n">
        <x:f>'Subcriterion marks'!AB13</x:f>
        <x:v>25</x:v>
      </x:c>
      <x:c r="E235" s="22" t="str">
        <x:v>report-level evidence with little direct empirical tracing.</x:v>
      </x:c>
    </x:row>
    <x:row r="236" ht="62" customHeight="1">
      <x:c r="A236" s="2" t="str">
        <x:v>Participant_555070_assignsubmission_file</x:v>
      </x:c>
      <x:c r="B236" s="2" t="str">
        <x:v>C5E</x:v>
      </x:c>
      <x:c r="C236" s="23" t="n">
        <x:v>0</x:v>
      </x:c>
      <x:c r="D236" s="25" t="n">
        <x:f>'Subcriterion marks'!AC13</x:f>
        <x:v>0</x:v>
      </x:c>
      <x:c r="E236" s="4" t="str">
        <x:v>no identifiable scholarly evidence synthesis used.</x:v>
      </x:c>
    </x:row>
    <x:row r="237" ht="62" customHeight="1">
      <x:c r="A237" s="8" t="str">
        <x:v>Participant_555070_assignsubmission_file</x:v>
      </x:c>
      <x:c r="B237" s="8" t="str">
        <x:v>C5F</x:v>
      </x:c>
      <x:c r="C237" s="24" t="n">
        <x:v>0.5</x:v>
      </x:c>
      <x:c r="D237" s="26" t="n">
        <x:f>'Subcriterion marks'!AD13</x:f>
        <x:v>40</x:v>
      </x:c>
      <x:c r="E237" s="22" t="str">
        <x:v>limited integration of empirical sources despite extensive theoretical terminology.</x:v>
      </x:c>
    </x:row>
    <x:row r="238" ht="62" customHeight="1">
      <x:c r="A238" s="2" t="str">
        <x:v>Participant_555071_assignsubmission_file</x:v>
      </x:c>
      <x:c r="B238" s="2" t="str">
        <x:v>C1A</x:v>
      </x:c>
      <x:c r="C238" s="23" t="n">
        <x:v>0.5</x:v>
      </x:c>
      <x:c r="D238" s="25" t="n">
        <x:f>'Subcriterion marks'!B14</x:f>
        <x:v>55</x:v>
      </x:c>
      <x:c r="E238" s="4" t="str">
        <x:v>Methods identifies relevant questioning, synthesis and bias control, but explanation is fairly generic.</x:v>
      </x:c>
    </x:row>
    <x:row r="239" ht="62" customHeight="1">
      <x:c r="A239" s="8" t="str">
        <x:v>Participant_555071_assignsubmission_file</x:v>
      </x:c>
      <x:c r="B239" s="8" t="str">
        <x:v>C1B</x:v>
      </x:c>
      <x:c r="C239" s="24" t="n">
        <x:v>0</x:v>
      </x:c>
      <x:c r="D239" s="26" t="n">
        <x:f>'Subcriterion marks'!C14</x:f>
        <x:v>0</x:v>
      </x:c>
      <x:c r="E239" s="22" t="str">
        <x:v>designated core text absent.</x:v>
      </x:c>
    </x:row>
    <x:row r="240" ht="62" customHeight="1">
      <x:c r="A240" s="2" t="str">
        <x:v>Participant_555071_assignsubmission_file</x:v>
      </x:c>
      <x:c r="B240" s="2" t="str">
        <x:v>C1C</x:v>
      </x:c>
      <x:c r="C240" s="23" t="n">
        <x:v>0.5</x:v>
      </x:c>
      <x:c r="D240" s="25" t="n">
        <x:f>'Subcriterion marks'!D14</x:f>
        <x:v>55</x:v>
      </x:c>
      <x:c r="E240" s="4" t="str">
        <x:v>a clear claim and reasons, with less explicit warrants/rebuttals.</x:v>
      </x:c>
    </x:row>
    <x:row r="241" ht="62" customHeight="1">
      <x:c r="A241" s="8" t="str">
        <x:v>Participant_555071_assignsubmission_file</x:v>
      </x:c>
      <x:c r="B241" s="8" t="str">
        <x:v>C1D</x:v>
      </x:c>
      <x:c r="C241" s="24" t="n">
        <x:v>0.5</x:v>
      </x:c>
      <x:c r="D241" s="26" t="n">
        <x:f>'Subcriterion marks'!E14</x:f>
        <x:v>45</x:v>
      </x:c>
      <x:c r="E241" s="22" t="str">
        <x:v>association versus causation is mentioned, without a complete account of the principal inference or certainty.</x:v>
      </x:c>
    </x:row>
    <x:row r="242" ht="62" customHeight="1">
      <x:c r="A242" s="2" t="str">
        <x:v>Participant_555071_assignsubmission_file</x:v>
      </x:c>
      <x:c r="B242" s="2" t="str">
        <x:v>C1E</x:v>
      </x:c>
      <x:c r="C242" s="23" t="n">
        <x:v>0.5</x:v>
      </x:c>
      <x:c r="D242" s="25" t="n">
        <x:f>'Subcriterion marks'!F14</x:f>
        <x:v>60</x:v>
      </x:c>
      <x:c r="E242" s="4" t="str">
        <x:v>learning design and self-regulation are explained at a basic level.</x:v>
      </x:c>
    </x:row>
    <x:row r="243" ht="62" customHeight="1">
      <x:c r="A243" s="8" t="str">
        <x:v>Participant_555071_assignsubmission_file</x:v>
      </x:c>
      <x:c r="B243" s="8" t="str">
        <x:v>C2A</x:v>
      </x:c>
      <x:c r="C243" s="24" t="n">
        <x:v>1</x:v>
      </x:c>
      <x:c r="D243" s="26" t="n">
        <x:f>'Subcriterion marks'!G14</x:f>
        <x:v>65</x:v>
      </x:c>
      <x:c r="E243" s="22" t="str">
        <x:v>coherent defence of online learning.</x:v>
      </x:c>
    </x:row>
    <x:row r="244" ht="62" customHeight="1">
      <x:c r="A244" s="2" t="str">
        <x:v>Participant_555071_assignsubmission_file</x:v>
      </x:c>
      <x:c r="B244" s="2" t="str">
        <x:v>C2B</x:v>
      </x:c>
      <x:c r="C244" s="23" t="n">
        <x:v>0.5</x:v>
      </x:c>
      <x:c r="D244" s="25" t="n">
        <x:f>'Subcriterion marks'!H14</x:f>
        <x:v>55</x:v>
      </x:c>
      <x:c r="E244" s="4" t="str">
        <x:v>credible syntheses are selected, but quality is mainly inferred from synthesis status.</x:v>
      </x:c>
    </x:row>
    <x:row r="245" ht="62" customHeight="1">
      <x:c r="A245" s="8" t="str">
        <x:v>Participant_555071_assignsubmission_file</x:v>
      </x:c>
      <x:c r="B245" s="8" t="str">
        <x:v>C2C</x:v>
      </x:c>
      <x:c r="C245" s="24" t="n">
        <x:v>0.5</x:v>
      </x:c>
      <x:c r="D245" s="26" t="n">
        <x:f>'Subcriterion marks'!I14</x:f>
        <x:v>50</x:v>
      </x:c>
      <x:c r="E245" s="22" t="str">
        <x:v>some association language, countered by the overstatement that effectiveness has 'nothing to do' with location.</x:v>
      </x:c>
    </x:row>
    <x:row r="246" ht="62" customHeight="1">
      <x:c r="A246" s="2" t="str">
        <x:v>Participant_555071_assignsubmission_file</x:v>
      </x:c>
      <x:c r="B246" s="2" t="str">
        <x:v>C2D</x:v>
      </x:c>
      <x:c r="C246" s="23" t="n">
        <x:v>0.5</x:v>
      </x:c>
      <x:c r="D246" s="25" t="n">
        <x:f>'Subcriterion marks'!J14</x:f>
        <x:v>55</x:v>
      </x:c>
      <x:c r="E246" s="4" t="str">
        <x:v>support and design conditions are identified, with little methodological evaluation.</x:v>
      </x:c>
    </x:row>
    <x:row r="247" ht="62" customHeight="1">
      <x:c r="A247" s="8" t="str">
        <x:v>Participant_555071_assignsubmission_file</x:v>
      </x:c>
      <x:c r="B247" s="8" t="str">
        <x:v>C2E</x:v>
      </x:c>
      <x:c r="C247" s="24" t="n">
        <x:v>0.5</x:v>
      </x:c>
      <x:c r="D247" s="26" t="n">
        <x:f>'Subcriterion marks'!K14</x:f>
        <x:v>50</x:v>
      </x:c>
      <x:c r="E247" s="22" t="str">
        <x:v>objections are acknowledged but often reframed as problems to fix rather than fully tested challenges.</x:v>
      </x:c>
    </x:row>
    <x:row r="248" ht="62" customHeight="1">
      <x:c r="A248" s="2" t="str">
        <x:v>Participant_555071_assignsubmission_file</x:v>
      </x:c>
      <x:c r="B248" s="2" t="str">
        <x:v>C2F</x:v>
      </x:c>
      <x:c r="C248" s="23" t="n">
        <x:v>0.5</x:v>
      </x:c>
      <x:c r="D248" s="25" t="n">
        <x:f>'Subcriterion marks'!L14</x:f>
        <x:v>50</x:v>
      </x:c>
      <x:c r="E248" s="4" t="str">
        <x:v>tradition and confirmation bias are considered, but the position remains somewhat one-sided.</x:v>
      </x:c>
    </x:row>
    <x:row r="249" ht="62" customHeight="1">
      <x:c r="A249" s="8" t="str">
        <x:v>Participant_555071_assignsubmission_file</x:v>
      </x:c>
      <x:c r="B249" s="8" t="str">
        <x:v>C3A</x:v>
      </x:c>
      <x:c r="C249" s="24" t="n">
        <x:v>0.5</x:v>
      </x:c>
      <x:c r="D249" s="26" t="n">
        <x:f>'Subcriterion marks'!M14</x:f>
        <x:v>50</x:v>
      </x:c>
      <x:c r="E249" s="22" t="str">
        <x:v>general argument analysis without a well-developed applied framework.</x:v>
      </x:c>
    </x:row>
    <x:row r="250" ht="62" customHeight="1">
      <x:c r="A250" s="2" t="str">
        <x:v>Participant_555071_assignsubmission_file</x:v>
      </x:c>
      <x:c r="B250" s="2" t="str">
        <x:v>C3B</x:v>
      </x:c>
      <x:c r="C250" s="23" t="n">
        <x:v>0.5</x:v>
      </x:c>
      <x:c r="D250" s="25" t="n">
        <x:f>'Subcriterion marks'!N14</x:f>
        <x:v>50</x:v>
      </x:c>
      <x:c r="E250" s="4" t="str">
        <x:v>evidence-based persuasion is visible, but techniques are not clearly explained as such.</x:v>
      </x:c>
    </x:row>
    <x:row r="251" ht="62" customHeight="1">
      <x:c r="A251" s="8" t="str">
        <x:v>Participant_555071_assignsubmission_file</x:v>
      </x:c>
      <x:c r="B251" s="8" t="str">
        <x:v>C3C</x:v>
      </x:c>
      <x:c r="C251" s="24" t="n">
        <x:v>0.5</x:v>
      </x:c>
      <x:c r="D251" s="26" t="n">
        <x:f>'Subcriterion marks'!O14</x:f>
        <x:v>55</x:v>
      </x:c>
      <x:c r="E251" s="22" t="str">
        <x:v>mostly fair presentation with some overstatement.</x:v>
      </x:c>
    </x:row>
    <x:row r="252" ht="62" customHeight="1">
      <x:c r="A252" s="2" t="str">
        <x:v>Participant_555071_assignsubmission_file</x:v>
      </x:c>
      <x:c r="B252" s="2" t="str">
        <x:v>C3D</x:v>
      </x:c>
      <x:c r="C252" s="23" t="n">
        <x:v>0.5</x:v>
      </x:c>
      <x:c r="D252" s="25" t="n">
        <x:f>'Subcriterion marks'!P14</x:f>
        <x:v>55</x:v>
      </x:c>
      <x:c r="E252" s="4" t="str">
        <x:v>recognisable public-facing structure but much reads as an academic source summary.</x:v>
      </x:c>
    </x:row>
    <x:row r="253" ht="62" customHeight="1">
      <x:c r="A253" s="8" t="str">
        <x:v>Participant_555071_assignsubmission_file</x:v>
      </x:c>
      <x:c r="B253" s="8" t="str">
        <x:v>C3E</x:v>
      </x:c>
      <x:c r="C253" s="24" t="n">
        <x:v>0.5</x:v>
      </x:c>
      <x:c r="D253" s="26" t="n">
        <x:f>'Subcriterion marks'!Q14</x:f>
        <x:v>55</x:v>
      </x:c>
      <x:c r="E253" s="22" t="str">
        <x:v>orderly and relevant but not consistently qualified.</x:v>
      </x:c>
    </x:row>
    <x:row r="254" ht="62" customHeight="1">
      <x:c r="A254" s="2" t="str">
        <x:v>Participant_555071_assignsubmission_file</x:v>
      </x:c>
      <x:c r="B254" s="2" t="str">
        <x:v>C4A</x:v>
      </x:c>
      <x:c r="C254" s="23" t="n">
        <x:v>1</x:v>
      </x:c>
      <x:c r="D254" s="25" t="n">
        <x:f>'Subcriterion marks'!R14</x:f>
        <x:v>65</x:v>
      </x:c>
      <x:c r="E254" s="4" t="str">
        <x:v>readable with awkward phrasing and repetition.</x:v>
      </x:c>
    </x:row>
    <x:row r="255" ht="62" customHeight="1">
      <x:c r="A255" s="8" t="str">
        <x:v>Participant_555071_assignsubmission_file</x:v>
      </x:c>
      <x:c r="B255" s="8" t="str">
        <x:v>C4B</x:v>
      </x:c>
      <x:c r="C255" s="24" t="n">
        <x:v>1</x:v>
      </x:c>
      <x:c r="D255" s="26" t="n">
        <x:f>'Subcriterion marks'!S14</x:f>
        <x:v>65</x:v>
      </x:c>
      <x:c r="E255" s="22" t="str">
        <x:v>clear sections and progression.</x:v>
      </x:c>
    </x:row>
    <x:row r="256" ht="62" customHeight="1">
      <x:c r="A256" s="2" t="str">
        <x:v>Participant_555071_assignsubmission_file</x:v>
      </x:c>
      <x:c r="B256" s="2" t="str">
        <x:v>C4C</x:v>
      </x:c>
      <x:c r="C256" s="23" t="n">
        <x:v>1</x:v>
      </x:c>
      <x:c r="D256" s="25" t="n">
        <x:f>'Subcriterion marks'!T14</x:f>
        <x:v>65</x:v>
      </x:c>
      <x:c r="E256" s="4" t="str">
        <x:v>a coherent introduction and conclusion.</x:v>
      </x:c>
    </x:row>
    <x:row r="257" ht="62" customHeight="1">
      <x:c r="A257" s="8" t="str">
        <x:v>Participant_555071_assignsubmission_file</x:v>
      </x:c>
      <x:c r="B257" s="8" t="str">
        <x:v>C4D</x:v>
      </x:c>
      <x:c r="C257" s="24" t="n">
        <x:v>0.5</x:v>
      </x:c>
      <x:c r="D257" s="26" t="n">
        <x:f>'Subcriterion marks'!U14</x:f>
        <x:v>50</x:v>
      </x:c>
      <x:c r="E257" s="22" t="str">
        <x:v>examples tend to remain general rather than concrete scenarios.</x:v>
      </x:c>
    </x:row>
    <x:row r="258" ht="62" customHeight="1">
      <x:c r="A258" s="2" t="str">
        <x:v>Participant_555071_assignsubmission_file</x:v>
      </x:c>
      <x:c r="B258" s="2" t="str">
        <x:v>C4E</x:v>
      </x:c>
      <x:c r="C258" s="23" t="n">
        <x:v>0.5</x:v>
      </x:c>
      <x:c r="D258" s="25" t="n">
        <x:f>'Subcriterion marks'!V14</x:f>
        <x:v>55</x:v>
      </x:c>
      <x:c r="E258" s="4" t="str">
        <x:v>repeated US spellings and awkward expression.</x:v>
      </x:c>
    </x:row>
    <x:row r="259" ht="62" customHeight="1">
      <x:c r="A259" s="8" t="str">
        <x:v>Participant_555071_assignsubmission_file</x:v>
      </x:c>
      <x:c r="B259" s="8" t="str">
        <x:v>C4F</x:v>
      </x:c>
      <x:c r="C259" s="24" t="n">
        <x:v>1</x:v>
      </x:c>
      <x:c r="D259" s="26" t="n">
        <x:f>'Subcriterion marks'!W14</x:f>
        <x:v>70</x:v>
      </x:c>
      <x:c r="E259" s="22" t="str">
        <x:v>largely consistent visible author-date references.</x:v>
      </x:c>
    </x:row>
    <x:row r="260" ht="62" customHeight="1">
      <x:c r="A260" s="2" t="str">
        <x:v>Participant_555071_assignsubmission_file</x:v>
      </x:c>
      <x:c r="B260" s="2" t="str">
        <x:v>C4G</x:v>
      </x:c>
      <x:c r="C260" s="23" t="n">
        <x:v>0.5</x:v>
      </x:c>
      <x:c r="D260" s="25" t="n">
        <x:f>'Subcriterion marks'!X14</x:f>
        <x:v>50</x:v>
      </x:c>
      <x:c r="E260" s="4" t="str">
        <x:v>approximately 1,222 blog words; correct sequence and one Methods paragraph, but materially below the minimum.</x:v>
      </x:c>
    </x:row>
    <x:row r="261" ht="62" customHeight="1">
      <x:c r="A261" s="8" t="str">
        <x:v>Participant_555071_assignsubmission_file</x:v>
      </x:c>
      <x:c r="B261" s="8" t="str">
        <x:v>C5A</x:v>
      </x:c>
      <x:c r="C261" s="24" t="n">
        <x:v>0.5</x:v>
      </x:c>
      <x:c r="D261" s="26" t="n">
        <x:f>'Subcriterion marks'!Y14</x:f>
        <x:v>55</x:v>
      </x:c>
      <x:c r="E261" s="22" t="str">
        <x:v>eight relevant sources, below the required breadth for full range credit.</x:v>
      </x:c>
    </x:row>
    <x:row r="262" ht="62" customHeight="1">
      <x:c r="A262" s="2" t="str">
        <x:v>Participant_555071_assignsubmission_file</x:v>
      </x:c>
      <x:c r="B262" s="2" t="str">
        <x:v>C5B</x:v>
      </x:c>
      <x:c r="C262" s="23" t="n">
        <x:v>1</x:v>
      </x:c>
      <x:c r="D262" s="25" t="n">
        <x:f>'Subcriterion marks'!Z14</x:f>
        <x:v>75</x:v>
      </x:c>
      <x:c r="E262" s="4" t="str">
        <x:v>predominantly credible scholarly literature.</x:v>
      </x:c>
    </x:row>
    <x:row r="263" ht="62" customHeight="1">
      <x:c r="A263" s="8" t="str">
        <x:v>Participant_555071_assignsubmission_file</x:v>
      </x:c>
      <x:c r="B263" s="8" t="str">
        <x:v>C5C</x:v>
      </x:c>
      <x:c r="C263" s="24" t="n">
        <x:v>1</x:v>
      </x:c>
      <x:c r="D263" s="26" t="n">
        <x:f>'Subcriterion marks'!AA14</x:f>
        <x:v>70</x:v>
      </x:c>
      <x:c r="E263" s="22" t="str">
        <x:v>combines current topic research and older bias theory.</x:v>
      </x:c>
    </x:row>
    <x:row r="264" ht="62" customHeight="1">
      <x:c r="A264" s="2" t="str">
        <x:v>Participant_555071_assignsubmission_file</x:v>
      </x:c>
      <x:c r="B264" s="2" t="str">
        <x:v>C5D</x:v>
      </x:c>
      <x:c r="C264" s="23" t="n">
        <x:v>0</x:v>
      </x:c>
      <x:c r="D264" s="25" t="n">
        <x:f>'Subcriterion marks'!AB14</x:f>
        <x:v>30</x:v>
      </x:c>
      <x:c r="E264" s="4" t="str">
        <x:v>principal educational claims rely on reviews/meta-reviews rather than direct empirical studies; some credit for identifiable secondary evidence.</x:v>
      </x:c>
    </x:row>
    <x:row r="265" ht="62" customHeight="1">
      <x:c r="A265" s="8" t="str">
        <x:v>Participant_555071_assignsubmission_file</x:v>
      </x:c>
      <x:c r="B265" s="8" t="str">
        <x:v>C5E</x:v>
      </x:c>
      <x:c r="C265" s="24" t="n">
        <x:v>1</x:v>
      </x:c>
      <x:c r="D265" s="26" t="n">
        <x:f>'Subcriterion marks'!AC14</x:f>
        <x:v>70</x:v>
      </x:c>
      <x:c r="E265" s="22" t="str">
        <x:v>multiple syntheses are used.</x:v>
      </x:c>
    </x:row>
    <x:row r="266" ht="62" customHeight="1">
      <x:c r="A266" s="2" t="str">
        <x:v>Participant_555071_assignsubmission_file</x:v>
      </x:c>
      <x:c r="B266" s="2" t="str">
        <x:v>C5F</x:v>
      </x:c>
      <x:c r="C266" s="23" t="n">
        <x:v>0.5</x:v>
      </x:c>
      <x:c r="D266" s="25" t="n">
        <x:f>'Subcriterion marks'!AD14</x:f>
        <x:v>55</x:v>
      </x:c>
      <x:c r="E266" s="4" t="str">
        <x:v>mostly successive summaries, with some joint interpretation.</x:v>
      </x:c>
    </x:row>
    <x:row r="267" ht="62" customHeight="1">
      <x:c r="A267" s="8" t="str">
        <x:v>Participant_555072_assignsubmission_file</x:v>
      </x:c>
      <x:c r="B267" s="8" t="str">
        <x:v>C1A</x:v>
      </x:c>
      <x:c r="C267" s="24" t="n">
        <x:v>1</x:v>
      </x:c>
      <x:c r="D267" s="26" t="n">
        <x:f>'Subcriterion marks'!B15</x:f>
        <x:v>75</x:v>
      </x:c>
      <x:c r="E267" s="22" t="str">
        <x:v>purposeful comparison of evidence, assumptions and counterevidence.</x:v>
      </x:c>
    </x:row>
    <x:row r="268" ht="62" customHeight="1">
      <x:c r="A268" s="2" t="str">
        <x:v>Participant_555072_assignsubmission_file</x:v>
      </x:c>
      <x:c r="B268" s="2" t="str">
        <x:v>C1B</x:v>
      </x:c>
      <x:c r="C268" s="23" t="n">
        <x:v>1</x:v>
      </x:c>
      <x:c r="D268" s="25" t="n">
        <x:f>'Subcriterion marks'!C15</x:f>
        <x:v>75</x:v>
      </x:c>
      <x:c r="E268" s="4" t="str">
        <x:v>core text informs the actual evaluation, not only a decorative citation.</x:v>
      </x:c>
    </x:row>
    <x:row r="269" ht="62" customHeight="1">
      <x:c r="A269" s="8" t="str">
        <x:v>Participant_555072_assignsubmission_file</x:v>
      </x:c>
      <x:c r="B269" s="8" t="str">
        <x:v>C1C</x:v>
      </x:c>
      <x:c r="C269" s="24" t="n">
        <x:v>1</x:v>
      </x:c>
      <x:c r="D269" s="26" t="n">
        <x:f>'Subcriterion marks'!D15</x:f>
        <x:v>75</x:v>
      </x:c>
      <x:c r="E269" s="22" t="str">
        <x:v>claim, grounds, qualifications and rebuttal structure are clear.</x:v>
      </x:c>
    </x:row>
    <x:row r="270" ht="62" customHeight="1">
      <x:c r="A270" s="2" t="str">
        <x:v>Participant_555072_assignsubmission_file</x:v>
      </x:c>
      <x:c r="B270" s="2" t="str">
        <x:v>C1D</x:v>
      </x:c>
      <x:c r="C270" s="23" t="n">
        <x:v>0.5</x:v>
      </x:c>
      <x:c r="D270" s="25" t="n">
        <x:f>'Subcriterion marks'!E15</x:f>
        <x:v>60</x:v>
      </x:c>
      <x:c r="E270" s="4" t="str">
        <x:v>strong causal-versus-observational explanation and certainty discussion, but does not fully identify its own principal inference form; upper partial quality.</x:v>
      </x:c>
    </x:row>
    <x:row r="271" ht="62" customHeight="1">
      <x:c r="A271" s="8" t="str">
        <x:v>Participant_555072_assignsubmission_file</x:v>
      </x:c>
      <x:c r="B271" s="8" t="str">
        <x:v>C1E</x:v>
      </x:c>
      <x:c r="C271" s="24" t="n">
        <x:v>1</x:v>
      </x:c>
      <x:c r="D271" s="26" t="n">
        <x:f>'Subcriterion marks'!F15</x:f>
        <x:v>75</x:v>
      </x:c>
      <x:c r="E271" s="22" t="str">
        <x:v>dietary labels, substitution and measured outcomes are carefully distinguished.</x:v>
      </x:c>
    </x:row>
    <x:row r="272" ht="62" customHeight="1">
      <x:c r="A272" s="2" t="str">
        <x:v>Participant_555072_assignsubmission_file</x:v>
      </x:c>
      <x:c r="B272" s="2" t="str">
        <x:v>C2A</x:v>
      </x:c>
      <x:c r="C272" s="23" t="n">
        <x:v>1</x:v>
      </x:c>
      <x:c r="D272" s="25" t="n">
        <x:f>'Subcriterion marks'!G15</x:f>
        <x:v>80</x:v>
      </x:c>
      <x:c r="E272" s="4" t="str">
        <x:v>coherent substitution-focused argument.</x:v>
      </x:c>
    </x:row>
    <x:row r="273" ht="62" customHeight="1">
      <x:c r="A273" s="8" t="str">
        <x:v>Participant_555072_assignsubmission_file</x:v>
      </x:c>
      <x:c r="B273" s="8" t="str">
        <x:v>C2B</x:v>
      </x:c>
      <x:c r="C273" s="24" t="n">
        <x:v>1</x:v>
      </x:c>
      <x:c r="D273" s="26" t="n">
        <x:f>'Subcriterion marks'!H15</x:f>
        <x:v>85</x:v>
      </x:c>
      <x:c r="E273" s="22" t="str">
        <x:v>exceptionally explicit comparison of observational evidence, randomisation, low certainty and indirect interventions.</x:v>
      </x:c>
    </x:row>
    <x:row r="274" ht="62" customHeight="1">
      <x:c r="A274" s="2" t="str">
        <x:v>Participant_555072_assignsubmission_file</x:v>
      </x:c>
      <x:c r="B274" s="2" t="str">
        <x:v>C2C</x:v>
      </x:c>
      <x:c r="C274" s="23" t="n">
        <x:v>1</x:v>
      </x:c>
      <x:c r="D274" s="25" t="n">
        <x:f>'Subcriterion marks'!I15</x:f>
        <x:v>85</x:v>
      </x:c>
      <x:c r="E274" s="4" t="str">
        <x:v>distinguishes absence of demonstrated benefit from evidence of no benefit and interrogates causal attribution.</x:v>
      </x:c>
    </x:row>
    <x:row r="275" ht="62" customHeight="1">
      <x:c r="A275" s="8" t="str">
        <x:v>Participant_555072_assignsubmission_file</x:v>
      </x:c>
      <x:c r="B275" s="8" t="str">
        <x:v>C2D</x:v>
      </x:c>
      <x:c r="C275" s="24" t="n">
        <x:v>1</x:v>
      </x:c>
      <x:c r="D275" s="26" t="n">
        <x:f>'Subcriterion marks'!J15</x:f>
        <x:v>85</x:v>
      </x:c>
      <x:c r="E275" s="22" t="str">
        <x:v>population risk, six-month duration, outcome scope, intervention specificity and cultural measurement limits are developed.</x:v>
      </x:c>
    </x:row>
    <x:row r="276" ht="62" customHeight="1">
      <x:c r="A276" s="2" t="str">
        <x:v>Participant_555072_assignsubmission_file</x:v>
      </x:c>
      <x:c r="B276" s="2" t="str">
        <x:v>C2E</x:v>
      </x:c>
      <x:c r="C276" s="23" t="n">
        <x:v>1</x:v>
      </x:c>
      <x:c r="D276" s="25" t="n">
        <x:f>'Subcriterion marks'!K15</x:f>
        <x:v>80</x:v>
      </x:c>
      <x:c r="E276" s="4" t="str">
        <x:v>counterevidence is examined seriously and changes the claim.</x:v>
      </x:c>
    </x:row>
    <x:row r="277" ht="62" customHeight="1">
      <x:c r="A277" s="8" t="str">
        <x:v>Participant_555072_assignsubmission_file</x:v>
      </x:c>
      <x:c r="B277" s="8" t="str">
        <x:v>C2F</x:v>
      </x:c>
      <x:c r="C277" s="24" t="n">
        <x:v>1</x:v>
      </x:c>
      <x:c r="D277" s="26" t="n">
        <x:f>'Subcriterion marks'!L15</x:f>
        <x:v>80</x:v>
      </x:c>
      <x:c r="E277" s="22" t="str">
        <x:v>actively tests preferred evidence and avoids binary and single-factor conclusions.</x:v>
      </x:c>
    </x:row>
    <x:row r="278" ht="62" customHeight="1">
      <x:c r="A278" s="2" t="str">
        <x:v>Participant_555072_assignsubmission_file</x:v>
      </x:c>
      <x:c r="B278" s="2" t="str">
        <x:v>C3A</x:v>
      </x:c>
      <x:c r="C278" s="23" t="n">
        <x:v>1</x:v>
      </x:c>
      <x:c r="D278" s="25" t="n">
        <x:f>'Subcriterion marks'!M15</x:f>
        <x:v>75</x:v>
      </x:c>
      <x:c r="E278" s="4" t="str">
        <x:v>visible Toulmin-style argument and qualified conclusions.</x:v>
      </x:c>
    </x:row>
    <x:row r="279" ht="62" customHeight="1">
      <x:c r="A279" s="8" t="str">
        <x:v>Participant_555072_assignsubmission_file</x:v>
      </x:c>
      <x:c r="B279" s="8" t="str">
        <x:v>C3B</x:v>
      </x:c>
      <x:c r="C279" s="24" t="n">
        <x:v>0.5</x:v>
      </x:c>
      <x:c r="D279" s="26" t="n">
        <x:f>'Subcriterion marks'!N15</x:f>
        <x:v>55</x:v>
      </x:c>
      <x:c r="E279" s="22" t="str">
        <x:v>persuasive narrative and examples are effective, but Methods does not substantially explain persuasion techniques.</x:v>
      </x:c>
    </x:row>
    <x:row r="280" ht="62" customHeight="1">
      <x:c r="A280" s="2" t="str">
        <x:v>Participant_555072_assignsubmission_file</x:v>
      </x:c>
      <x:c r="B280" s="2" t="str">
        <x:v>C3C</x:v>
      </x:c>
      <x:c r="C280" s="23" t="n">
        <x:v>1</x:v>
      </x:c>
      <x:c r="D280" s="25" t="n">
        <x:f>'Subcriterion marks'!O15</x:f>
        <x:v>80</x:v>
      </x:c>
      <x:c r="E280" s="4" t="str">
        <x:v>especially fair treatment of supporting and opposing evidence.</x:v>
      </x:c>
    </x:row>
    <x:row r="281" ht="62" customHeight="1">
      <x:c r="A281" s="8" t="str">
        <x:v>Participant_555072_assignsubmission_file</x:v>
      </x:c>
      <x:c r="B281" s="8" t="str">
        <x:v>C3D</x:v>
      </x:c>
      <x:c r="C281" s="24" t="n">
        <x:v>1</x:v>
      </x:c>
      <x:c r="D281" s="26" t="n">
        <x:f>'Subcriterion marks'!P15</x:f>
        <x:v>80</x:v>
      </x:c>
      <x:c r="E281" s="22" t="str">
        <x:v>engaging public-facing voice, informative headings and reader questions.</x:v>
      </x:c>
    </x:row>
    <x:row r="282" ht="62" customHeight="1">
      <x:c r="A282" s="2" t="str">
        <x:v>Participant_555072_assignsubmission_file</x:v>
      </x:c>
      <x:c r="B282" s="2" t="str">
        <x:v>C3E</x:v>
      </x:c>
      <x:c r="C282" s="23" t="n">
        <x:v>1</x:v>
      </x:c>
      <x:c r="D282" s="25" t="n">
        <x:f>'Subcriterion marks'!Q15</x:f>
        <x:v>80</x:v>
      </x:c>
      <x:c r="E282" s="4" t="str">
        <x:v>clear and proportionate communication of uncertainty.</x:v>
      </x:c>
    </x:row>
    <x:row r="283" ht="62" customHeight="1">
      <x:c r="A283" s="8" t="str">
        <x:v>Participant_555072_assignsubmission_file</x:v>
      </x:c>
      <x:c r="B283" s="8" t="str">
        <x:v>C4A</x:v>
      </x:c>
      <x:c r="C283" s="24" t="n">
        <x:v>1</x:v>
      </x:c>
      <x:c r="D283" s="26" t="n">
        <x:f>'Subcriterion marks'!R15</x:f>
        <x:v>75</x:v>
      </x:c>
      <x:c r="E283" s="22" t="str">
        <x:v>clear and readable, with minor repeated transitions.</x:v>
      </x:c>
    </x:row>
    <x:row r="284" ht="62" customHeight="1">
      <x:c r="A284" s="2" t="str">
        <x:v>Participant_555072_assignsubmission_file</x:v>
      </x:c>
      <x:c r="B284" s="2" t="str">
        <x:v>C4B</x:v>
      </x:c>
      <x:c r="C284" s="23" t="n">
        <x:v>1</x:v>
      </x:c>
      <x:c r="D284" s="25" t="n">
        <x:f>'Subcriterion marks'!S15</x:f>
        <x:v>80</x:v>
      </x:c>
      <x:c r="E284" s="4" t="str">
        <x:v>strong progression from health through replacement, counterevidence, environment and culture.</x:v>
      </x:c>
    </x:row>
    <x:row r="285" ht="62" customHeight="1">
      <x:c r="A285" s="8" t="str">
        <x:v>Participant_555072_assignsubmission_file</x:v>
      </x:c>
      <x:c r="B285" s="8" t="str">
        <x:v>C4C</x:v>
      </x:c>
      <x:c r="C285" s="24" t="n">
        <x:v>1</x:v>
      </x:c>
      <x:c r="D285" s="26" t="n">
        <x:f>'Subcriterion marks'!T15</x:f>
        <x:v>75</x:v>
      </x:c>
      <x:c r="E285" s="22" t="str">
        <x:v>clear conditional opening and synthesising conclusion.</x:v>
      </x:c>
    </x:row>
    <x:row r="286" ht="62" customHeight="1">
      <x:c r="A286" s="2" t="str">
        <x:v>Participant_555072_assignsubmission_file</x:v>
      </x:c>
      <x:c r="B286" s="2" t="str">
        <x:v>C4D</x:v>
      </x:c>
      <x:c r="C286" s="23" t="n">
        <x:v>1</x:v>
      </x:c>
      <x:c r="D286" s="25" t="n">
        <x:f>'Subcriterion marks'!U15</x:f>
        <x:v>80</x:v>
      </x:c>
      <x:c r="E286" s="4" t="str">
        <x:v>steak/lentil substitutions and the indirect trial explain abstract issues effectively.</x:v>
      </x:c>
    </x:row>
    <x:row r="287" ht="62" customHeight="1">
      <x:c r="A287" s="8" t="str">
        <x:v>Participant_555072_assignsubmission_file</x:v>
      </x:c>
      <x:c r="B287" s="8" t="str">
        <x:v>C4E</x:v>
      </x:c>
      <x:c r="C287" s="24" t="n">
        <x:v>1</x:v>
      </x:c>
      <x:c r="D287" s="26" t="n">
        <x:f>'Subcriterion marks'!V15</x:f>
        <x:v>75</x:v>
      </x:c>
      <x:c r="E287" s="22" t="str">
        <x:v>generally accurate British English.</x:v>
      </x:c>
    </x:row>
    <x:row r="288" ht="62" customHeight="1">
      <x:c r="A288" s="2" t="str">
        <x:v>Participant_555072_assignsubmission_file</x:v>
      </x:c>
      <x:c r="B288" s="2" t="str">
        <x:v>C4F</x:v>
      </x:c>
      <x:c r="C288" s="23" t="n">
        <x:v>1</x:v>
      </x:c>
      <x:c r="D288" s="25" t="n">
        <x:f>'Subcriterion marks'!W15</x:f>
        <x:v>75</x:v>
      </x:c>
      <x:c r="E288" s="4" t="str">
        <x:v>visible references are consistent and detailed, subject to original formatting.</x:v>
      </x:c>
    </x:row>
    <x:row r="289" ht="62" customHeight="1">
      <x:c r="A289" s="8" t="str">
        <x:v>Participant_555072_assignsubmission_file</x:v>
      </x:c>
      <x:c r="B289" s="8" t="str">
        <x:v>C4G</x:v>
      </x:c>
      <x:c r="C289" s="24" t="n">
        <x:v>1</x:v>
      </x:c>
      <x:c r="D289" s="26" t="n">
        <x:f>'Subcriterion marks'!X15</x:f>
        <x:v>75</x:v>
      </x:c>
      <x:c r="E289" s="22" t="str">
        <x:v>approximately 1,603 words and required one-paragraph Methods structure.</x:v>
      </x:c>
    </x:row>
    <x:row r="290" ht="62" customHeight="1">
      <x:c r="A290" s="2" t="str">
        <x:v>Participant_555072_assignsubmission_file</x:v>
      </x:c>
      <x:c r="B290" s="2" t="str">
        <x:v>C5A</x:v>
      </x:c>
      <x:c r="C290" s="23" t="n">
        <x:v>0.5</x:v>
      </x:c>
      <x:c r="D290" s="25" t="n">
        <x:f>'Subcriterion marks'!Y15</x:f>
        <x:v>60</x:v>
      </x:c>
      <x:c r="E290" s="4" t="str">
        <x:v>nine substantive references, close to but below the ten-source criterion.</x:v>
      </x:c>
    </x:row>
    <x:row r="291" ht="62" customHeight="1">
      <x:c r="A291" s="8" t="str">
        <x:v>Participant_555072_assignsubmission_file</x:v>
      </x:c>
      <x:c r="B291" s="8" t="str">
        <x:v>C5B</x:v>
      </x:c>
      <x:c r="C291" s="24" t="n">
        <x:v>1</x:v>
      </x:c>
      <x:c r="D291" s="26" t="n">
        <x:f>'Subcriterion marks'!Z15</x:f>
        <x:v>80</x:v>
      </x:c>
      <x:c r="E291" s="22" t="str">
        <x:v>high-quality scholarly and institutional material.</x:v>
      </x:c>
    </x:row>
    <x:row r="292" ht="62" customHeight="1">
      <x:c r="A292" s="2" t="str">
        <x:v>Participant_555072_assignsubmission_file</x:v>
      </x:c>
      <x:c r="B292" s="2" t="str">
        <x:v>C5C</x:v>
      </x:c>
      <x:c r="C292" s="23" t="n">
        <x:v>1</x:v>
      </x:c>
      <x:c r="D292" s="25" t="n">
        <x:f>'Subcriterion marks'!AA15</x:f>
        <x:v>75</x:v>
      </x:c>
      <x:c r="E292" s="4" t="str">
        <x:v>current syntheses with relevant conceptual and earlier evidence.</x:v>
      </x:c>
    </x:row>
    <x:row r="293" ht="62" customHeight="1">
      <x:c r="A293" s="8" t="str">
        <x:v>Participant_555072_assignsubmission_file</x:v>
      </x:c>
      <x:c r="B293" s="8" t="str">
        <x:v>C5D</x:v>
      </x:c>
      <x:c r="C293" s="24" t="n">
        <x:v>0.5</x:v>
      </x:c>
      <x:c r="D293" s="26" t="n">
        <x:f>'Subcriterion marks'!AB15</x:f>
        <x:v>45</x:v>
      </x:c>
      <x:c r="E293" s="22" t="str">
        <x:v>original survey findings are accessed through the reporting institution, while central trial claims remain mediated by reviews.</x:v>
      </x:c>
    </x:row>
    <x:row r="294" ht="62" customHeight="1">
      <x:c r="A294" s="2" t="str">
        <x:v>Participant_555072_assignsubmission_file</x:v>
      </x:c>
      <x:c r="B294" s="2" t="str">
        <x:v>C5E</x:v>
      </x:c>
      <x:c r="C294" s="23" t="n">
        <x:v>1</x:v>
      </x:c>
      <x:c r="D294" s="25" t="n">
        <x:f>'Subcriterion marks'!AC15</x:f>
        <x:v>85</x:v>
      </x:c>
      <x:c r="E294" s="4" t="str">
        <x:v>exceptionally substantive use of multiple syntheses, including their certainty assessments.</x:v>
      </x:c>
    </x:row>
    <x:row r="295" ht="62" customHeight="1">
      <x:c r="A295" s="8" t="str">
        <x:v>Participant_555072_assignsubmission_file</x:v>
      </x:c>
      <x:c r="B295" s="8" t="str">
        <x:v>C5F</x:v>
      </x:c>
      <x:c r="C295" s="24" t="n">
        <x:v>1</x:v>
      </x:c>
      <x:c r="D295" s="26" t="n">
        <x:f>'Subcriterion marks'!AD15</x:f>
        <x:v>85</x:v>
      </x:c>
      <x:c r="E295" s="22" t="str">
        <x:v>studies and syntheses are compared to develop a carefully bounded independent judgement.</x:v>
      </x:c>
    </x:row>
    <x:row r="296" ht="62" customHeight="1">
      <x:c r="A296" s="2" t="str">
        <x:v>Participant_555073_assignsubmission_file</x:v>
      </x:c>
      <x:c r="B296" s="2" t="str">
        <x:v>C1A</x:v>
      </x:c>
      <x:c r="C296" s="23" t="n">
        <x:v>1</x:v>
      </x:c>
      <x:c r="D296" s="25" t="n">
        <x:f>'Subcriterion marks'!B16</x:f>
        <x:v>75</x:v>
      </x:c>
      <x:c r="E296" s="4" t="str">
        <x:v>Methods explains arguments, hidden assumptions, qualifiers and bias control purposefully.</x:v>
      </x:c>
    </x:row>
    <x:row r="297" ht="62" customHeight="1">
      <x:c r="A297" s="8" t="str">
        <x:v>Participant_555073_assignsubmission_file</x:v>
      </x:c>
      <x:c r="B297" s="8" t="str">
        <x:v>C1B</x:v>
      </x:c>
      <x:c r="C297" s="24" t="n">
        <x:v>1</x:v>
      </x:c>
      <x:c r="D297" s="26" t="n">
        <x:f>'Subcriterion marks'!C16</x:f>
        <x:v>75</x:v>
      </x:c>
      <x:c r="E297" s="22" t="str">
        <x:v>core text and its Making Arguments Template are explicitly applied.</x:v>
      </x:c>
    </x:row>
    <x:row r="298" ht="62" customHeight="1">
      <x:c r="A298" s="2" t="str">
        <x:v>Participant_555073_assignsubmission_file</x:v>
      </x:c>
      <x:c r="B298" s="2" t="str">
        <x:v>C1C</x:v>
      </x:c>
      <x:c r="C298" s="23" t="n">
        <x:v>1</x:v>
      </x:c>
      <x:c r="D298" s="25" t="n">
        <x:f>'Subcriterion marks'!D16</x:f>
        <x:v>75</x:v>
      </x:c>
      <x:c r="E298" s="4" t="str">
        <x:v>supporting premises, hidden warrants and rebuttals are clearly linked.</x:v>
      </x:c>
    </x:row>
    <x:row r="299" ht="62" customHeight="1">
      <x:c r="A299" s="8" t="str">
        <x:v>Participant_555073_assignsubmission_file</x:v>
      </x:c>
      <x:c r="B299" s="8" t="str">
        <x:v>C1D</x:v>
      </x:c>
      <x:c r="C299" s="24" t="n">
        <x:v>0</x:v>
      </x:c>
      <x:c r="D299" s="26" t="n">
        <x:f>'Subcriterion marks'!E16</x:f>
        <x:v>0</x:v>
      </x:c>
      <x:c r="E299" s="22" t="str">
        <x:v>no principal reasoning form identified.</x:v>
      </x:c>
    </x:row>
    <x:row r="300" ht="62" customHeight="1">
      <x:c r="A300" s="2" t="str">
        <x:v>Participant_555073_assignsubmission_file</x:v>
      </x:c>
      <x:c r="B300" s="2" t="str">
        <x:v>C1E</x:v>
      </x:c>
      <x:c r="C300" s="23" t="n">
        <x:v>1</x:v>
      </x:c>
      <x:c r="D300" s="25" t="n">
        <x:f>'Subcriterion marks'!F16</x:f>
        <x:v>75</x:v>
      </x:c>
      <x:c r="E300" s="4" t="str">
        <x:v>AI literacy, independent learning and metacognitive laziness are explained accessibly.</x:v>
      </x:c>
    </x:row>
    <x:row r="301" ht="62" customHeight="1">
      <x:c r="A301" s="8" t="str">
        <x:v>Participant_555073_assignsubmission_file</x:v>
      </x:c>
      <x:c r="B301" s="8" t="str">
        <x:v>C2A</x:v>
      </x:c>
      <x:c r="C301" s="24" t="n">
        <x:v>1</x:v>
      </x:c>
      <x:c r="D301" s="26" t="n">
        <x:f>'Subcriterion marks'!G16</x:f>
        <x:v>80</x:v>
      </x:c>
      <x:c r="E301" s="22" t="str">
        <x:v>strong conditional integration thesis.</x:v>
      </x:c>
    </x:row>
    <x:row r="302" ht="62" customHeight="1">
      <x:c r="A302" s="2" t="str">
        <x:v>Participant_555073_assignsubmission_file</x:v>
      </x:c>
      <x:c r="B302" s="2" t="str">
        <x:v>C2B</x:v>
      </x:c>
      <x:c r="C302" s="23" t="n">
        <x:v>0.5</x:v>
      </x:c>
      <x:c r="D302" s="25" t="n">
        <x:f>'Subcriterion marks'!H16</x:f>
        <x:v>60</x:v>
      </x:c>
      <x:c r="E302" s="4" t="str">
        <x:v>relevant primary experiments and credible supporting literature, though relative methodological quality is less explicitly evaluated than in the strongest papers.</x:v>
      </x:c>
    </x:row>
    <x:row r="303" ht="62" customHeight="1">
      <x:c r="A303" s="8" t="str">
        <x:v>Participant_555073_assignsubmission_file</x:v>
      </x:c>
      <x:c r="B303" s="8" t="str">
        <x:v>C2C</x:v>
      </x:c>
      <x:c r="C303" s="24" t="n">
        <x:v>1</x:v>
      </x:c>
      <x:c r="D303" s="26" t="n">
        <x:f>'Subcriterion marks'!I16</x:f>
        <x:v>80</x:v>
      </x:c>
      <x:c r="E303" s="22" t="str">
        <x:v>evaluates the gaps between assisted performance and learning, and between cheating risk and a universal prohibition.</x:v>
      </x:c>
    </x:row>
    <x:row r="304" ht="62" customHeight="1">
      <x:c r="A304" s="2" t="str">
        <x:v>Participant_555073_assignsubmission_file</x:v>
      </x:c>
      <x:c r="B304" s="2" t="str">
        <x:v>C2D</x:v>
      </x:c>
      <x:c r="C304" s="23" t="n">
        <x:v>1</x:v>
      </x:c>
      <x:c r="D304" s="25" t="n">
        <x:f>'Subcriterion marks'!J16</x:f>
        <x:v>75</x:v>
      </x:c>
      <x:c r="E304" s="4" t="str">
        <x:v>school mathematics does not automatically generalise to all higher education.</x:v>
      </x:c>
    </x:row>
    <x:row r="305" ht="62" customHeight="1">
      <x:c r="A305" s="8" t="str">
        <x:v>Participant_555073_assignsubmission_file</x:v>
      </x:c>
      <x:c r="B305" s="8" t="str">
        <x:v>C2E</x:v>
      </x:c>
      <x:c r="C305" s="24" t="n">
        <x:v>1</x:v>
      </x:c>
      <x:c r="D305" s="26" t="n">
        <x:f>'Subcriterion marks'!K16</x:f>
        <x:v>80</x:v>
      </x:c>
      <x:c r="E305" s="22" t="str">
        <x:v>academic-integrity objections receive a substantive, qualified answer.</x:v>
      </x:c>
    </x:row>
    <x:row r="306" ht="62" customHeight="1">
      <x:c r="A306" s="2" t="str">
        <x:v>Participant_555073_assignsubmission_file</x:v>
      </x:c>
      <x:c r="B306" s="2" t="str">
        <x:v>C2F</x:v>
      </x:c>
      <x:c r="C306" s="23" t="n">
        <x:v>1</x:v>
      </x:c>
      <x:c r="D306" s="25" t="n">
        <x:f>'Subcriterion marks'!L16</x:f>
        <x:v>75</x:v>
      </x:c>
      <x:c r="E306" s="4" t="str">
        <x:v>challenges both preferred and opposing assumptions rather than merely offering balance.</x:v>
      </x:c>
    </x:row>
    <x:row r="307" ht="62" customHeight="1">
      <x:c r="A307" s="8" t="str">
        <x:v>Participant_555073_assignsubmission_file</x:v>
      </x:c>
      <x:c r="B307" s="8" t="str">
        <x:v>C3A</x:v>
      </x:c>
      <x:c r="C307" s="24" t="n">
        <x:v>1</x:v>
      </x:c>
      <x:c r="D307" s="26" t="n">
        <x:f>'Subcriterion marks'!M16</x:f>
        <x:v>75</x:v>
      </x:c>
      <x:c r="E307" s="22" t="str">
        <x:v>argument framework is visible and explained in Methods.</x:v>
      </x:c>
    </x:row>
    <x:row r="308" ht="62" customHeight="1">
      <x:c r="A308" s="2" t="str">
        <x:v>Participant_555073_assignsubmission_file</x:v>
      </x:c>
      <x:c r="B308" s="2" t="str">
        <x:v>C3B</x:v>
      </x:c>
      <x:c r="C308" s="23" t="n">
        <x:v>0.5</x:v>
      </x:c>
      <x:c r="D308" s="25" t="n">
        <x:f>'Subcriterion marks'!N16</x:f>
        <x:v>55</x:v>
      </x:c>
      <x:c r="E308" s="4" t="str">
        <x:v>analogy, narrative and counterarguments persuade effectively, but Methods under-explains persuasion as a technique.</x:v>
      </x:c>
    </x:row>
    <x:row r="309" ht="62" customHeight="1">
      <x:c r="A309" s="8" t="str">
        <x:v>Participant_555073_assignsubmission_file</x:v>
      </x:c>
      <x:c r="B309" s="8" t="str">
        <x:v>C3C</x:v>
      </x:c>
      <x:c r="C309" s="24" t="n">
        <x:v>1</x:v>
      </x:c>
      <x:c r="D309" s="26" t="n">
        <x:f>'Subcriterion marks'!O16</x:f>
        <x:v>80</x:v>
      </x:c>
      <x:c r="E309" s="22" t="str">
        <x:v>fair, strongly qualified case.</x:v>
      </x:c>
    </x:row>
    <x:row r="310" ht="62" customHeight="1">
      <x:c r="A310" s="2" t="str">
        <x:v>Participant_555073_assignsubmission_file</x:v>
      </x:c>
      <x:c r="B310" s="2" t="str">
        <x:v>C3D</x:v>
      </x:c>
      <x:c r="C310" s="23" t="n">
        <x:v>1</x:v>
      </x:c>
      <x:c r="D310" s="25" t="n">
        <x:f>'Subcriterion marks'!P16</x:f>
        <x:v>80</x:v>
      </x:c>
      <x:c r="E310" s="4" t="str">
        <x:v>engaging title, headings, contrasting students and clear authorial voice.</x:v>
      </x:c>
    </x:row>
    <x:row r="311" ht="62" customHeight="1">
      <x:c r="A311" s="8" t="str">
        <x:v>Participant_555073_assignsubmission_file</x:v>
      </x:c>
      <x:c r="B311" s="8" t="str">
        <x:v>C3E</x:v>
      </x:c>
      <x:c r="C311" s="24" t="n">
        <x:v>1</x:v>
      </x:c>
      <x:c r="D311" s="26" t="n">
        <x:f>'Subcriterion marks'!Q16</x:f>
        <x:v>75</x:v>
      </x:c>
      <x:c r="E311" s="22" t="str">
        <x:v>clear and relevant information with sensible limits.</x:v>
      </x:c>
    </x:row>
    <x:row r="312" ht="62" customHeight="1">
      <x:c r="A312" s="2" t="str">
        <x:v>Participant_555073_assignsubmission_file</x:v>
      </x:c>
      <x:c r="B312" s="2" t="str">
        <x:v>C4A</x:v>
      </x:c>
      <x:c r="C312" s="23" t="n">
        <x:v>1</x:v>
      </x:c>
      <x:c r="D312" s="25" t="n">
        <x:f>'Subcriterion marks'!R16</x:f>
        <x:v>75</x:v>
      </x:c>
      <x:c r="E312" s="4" t="str">
        <x:v>fluent and appropriately concise.</x:v>
      </x:c>
    </x:row>
    <x:row r="313" ht="62" customHeight="1">
      <x:c r="A313" s="8" t="str">
        <x:v>Participant_555073_assignsubmission_file</x:v>
      </x:c>
      <x:c r="B313" s="8" t="str">
        <x:v>C4B</x:v>
      </x:c>
      <x:c r="C313" s="24" t="n">
        <x:v>1</x:v>
      </x:c>
      <x:c r="D313" s="26" t="n">
        <x:f>'Subcriterion marks'!S16</x:f>
        <x:v>80</x:v>
      </x:c>
      <x:c r="E313" s="22" t="str">
        <x:v>especially coherent progression from evidence to objections and design implications.</x:v>
      </x:c>
    </x:row>
    <x:row r="314" ht="62" customHeight="1">
      <x:c r="A314" s="2" t="str">
        <x:v>Participant_555073_assignsubmission_file</x:v>
      </x:c>
      <x:c r="B314" s="2" t="str">
        <x:v>C4C</x:v>
      </x:c>
      <x:c r="C314" s="23" t="n">
        <x:v>1</x:v>
      </x:c>
      <x:c r="D314" s="25" t="n">
        <x:f>'Subcriterion marks'!T16</x:f>
        <x:v>75</x:v>
      </x:c>
      <x:c r="E314" s="4" t="str">
        <x:v>introduction and conclusion sustain the same qualified position.</x:v>
      </x:c>
    </x:row>
    <x:row r="315" ht="62" customHeight="1">
      <x:c r="A315" s="8" t="str">
        <x:v>Participant_555073_assignsubmission_file</x:v>
      </x:c>
      <x:c r="B315" s="8" t="str">
        <x:v>C4D</x:v>
      </x:c>
      <x:c r="C315" s="24" t="n">
        <x:v>1</x:v>
      </x:c>
      <x:c r="D315" s="26" t="n">
        <x:f>'Subcriterion marks'!U16</x:f>
        <x:v>80</x:v>
      </x:c>
      <x:c r="E315" s="22" t="str">
        <x:v>student essays and calculator analogy clarify the reasoning.</x:v>
      </x:c>
    </x:row>
    <x:row r="316" ht="62" customHeight="1">
      <x:c r="A316" s="2" t="str">
        <x:v>Participant_555073_assignsubmission_file</x:v>
      </x:c>
      <x:c r="B316" s="2" t="str">
        <x:v>C4E</x:v>
      </x:c>
      <x:c r="C316" s="23" t="n">
        <x:v>1</x:v>
      </x:c>
      <x:c r="D316" s="25" t="n">
        <x:f>'Subcriterion marks'!V16</x:f>
        <x:v>75</x:v>
      </x:c>
      <x:c r="E316" s="4" t="str">
        <x:v>accurate written English.</x:v>
      </x:c>
    </x:row>
    <x:row r="317" ht="62" customHeight="1">
      <x:c r="A317" s="8" t="str">
        <x:v>Participant_555073_assignsubmission_file</x:v>
      </x:c>
      <x:c r="B317" s="8" t="str">
        <x:v>C4F</x:v>
      </x:c>
      <x:c r="C317" s="24" t="n">
        <x:v>1</x:v>
      </x:c>
      <x:c r="D317" s="26" t="n">
        <x:f>'Subcriterion marks'!W16</x:f>
        <x:v>75</x:v>
      </x:c>
      <x:c r="E317" s="22" t="str">
        <x:v>consistent visible APA details, subject to original PDF typography.</x:v>
      </x:c>
    </x:row>
    <x:row r="318" ht="62" customHeight="1">
      <x:c r="A318" s="2" t="str">
        <x:v>Participant_555073_assignsubmission_file</x:v>
      </x:c>
      <x:c r="B318" s="2" t="str">
        <x:v>C4G</x:v>
      </x:c>
      <x:c r="C318" s="23" t="n">
        <x:v>1</x:v>
      </x:c>
      <x:c r="D318" s="25" t="n">
        <x:f>'Subcriterion marks'!X16</x:f>
        <x:v>75</x:v>
      </x:c>
      <x:c r="E318" s="4" t="str">
        <x:v>approximately 1,456 blog words and required structure.</x:v>
      </x:c>
    </x:row>
    <x:row r="319" ht="62" customHeight="1">
      <x:c r="A319" s="8" t="str">
        <x:v>Participant_555073_assignsubmission_file</x:v>
      </x:c>
      <x:c r="B319" s="8" t="str">
        <x:v>C5A</x:v>
      </x:c>
      <x:c r="C319" s="24" t="n">
        <x:v>0.5</x:v>
      </x:c>
      <x:c r="D319" s="26" t="n">
        <x:f>'Subcriterion marks'!Y16</x:f>
        <x:v>60</x:v>
      </x:c>
      <x:c r="E319" s="22" t="str">
        <x:v>nine substantive sources, below the ten-source threshold.</x:v>
      </x:c>
    </x:row>
    <x:row r="320" ht="62" customHeight="1">
      <x:c r="A320" s="2" t="str">
        <x:v>Participant_555073_assignsubmission_file</x:v>
      </x:c>
      <x:c r="B320" s="2" t="str">
        <x:v>C5B</x:v>
      </x:c>
      <x:c r="C320" s="23" t="n">
        <x:v>1</x:v>
      </x:c>
      <x:c r="D320" s="25" t="n">
        <x:f>'Subcriterion marks'!Z16</x:f>
        <x:v>75</x:v>
      </x:c>
      <x:c r="E320" s="4" t="str">
        <x:v>strong academic literature and an authoritative survey.</x:v>
      </x:c>
    </x:row>
    <x:row r="321" ht="62" customHeight="1">
      <x:c r="A321" s="8" t="str">
        <x:v>Participant_555073_assignsubmission_file</x:v>
      </x:c>
      <x:c r="B321" s="8" t="str">
        <x:v>C5C</x:v>
      </x:c>
      <x:c r="C321" s="24" t="n">
        <x:v>1</x:v>
      </x:c>
      <x:c r="D321" s="26" t="n">
        <x:f>'Subcriterion marks'!AA16</x:f>
        <x:v>75</x:v>
      </x:c>
      <x:c r="E321" s="22" t="str">
        <x:v>current experiments with foundational argumentation and bias theory.</x:v>
      </x:c>
    </x:row>
    <x:row r="322" ht="62" customHeight="1">
      <x:c r="A322" s="2" t="str">
        <x:v>Participant_555073_assignsubmission_file</x:v>
      </x:c>
      <x:c r="B322" s="2" t="str">
        <x:v>C5D</x:v>
      </x:c>
      <x:c r="C322" s="23" t="n">
        <x:v>1</x:v>
      </x:c>
      <x:c r="D322" s="25" t="n">
        <x:f>'Subcriterion marks'!AB16</x:f>
        <x:v>80</x:v>
      </x:c>
      <x:c r="E322" s="4" t="str">
        <x:v>direct experimental studies materially drive the conclusion.</x:v>
      </x:c>
    </x:row>
    <x:row r="323" ht="62" customHeight="1">
      <x:c r="A323" s="8" t="str">
        <x:v>Participant_555073_assignsubmission_file</x:v>
      </x:c>
      <x:c r="B323" s="8" t="str">
        <x:v>C5E</x:v>
      </x:c>
      <x:c r="C323" s="24" t="n">
        <x:v>1</x:v>
      </x:c>
      <x:c r="D323" s="26" t="n">
        <x:f>'Subcriterion marks'!AC16</x:f>
        <x:v>70</x:v>
      </x:c>
      <x:c r="E323" s="22" t="str">
        <x:v>relevant scholarly/conceptual reviews are used, without the depth of synthesis appraisal in 555072.</x:v>
      </x:c>
    </x:row>
    <x:row r="324" ht="62" customHeight="1">
      <x:c r="A324" s="2" t="str">
        <x:v>Participant_555073_assignsubmission_file</x:v>
      </x:c>
      <x:c r="B324" s="2" t="str">
        <x:v>C5F</x:v>
      </x:c>
      <x:c r="C324" s="23" t="n">
        <x:v>1</x:v>
      </x:c>
      <x:c r="D324" s="25" t="n">
        <x:f>'Subcriterion marks'!AD16</x:f>
        <x:v>80</x:v>
      </x:c>
      <x:c r="E324" s="4" t="str">
        <x:v>integrates experiments, theory and assessment purpose particularly effectively.</x:v>
      </x:c>
    </x:row>
    <x:row r="325" ht="62" customHeight="1">
      <x:c r="A325" s="8" t="str">
        <x:v>Participant_555074_assignsubmission_file</x:v>
      </x:c>
      <x:c r="B325" s="8" t="str">
        <x:v>C1A</x:v>
      </x:c>
      <x:c r="C325" s="24" t="n">
        <x:v>1</x:v>
      </x:c>
      <x:c r="D325" s="26" t="n">
        <x:f>'Subcriterion marks'!B17</x:f>
        <x:v>70</x:v>
      </x:c>
      <x:c r="E325" s="22" t="str">
        <x:v>purposeful Toulmin, bias and evidence-hierarchy account, with some overconfidence in the resulting claim.</x:v>
      </x:c>
    </x:row>
    <x:row r="326" ht="62" customHeight="1">
      <x:c r="A326" s="2" t="str">
        <x:v>Participant_555074_assignsubmission_file</x:v>
      </x:c>
      <x:c r="B326" s="2" t="str">
        <x:v>C1B</x:v>
      </x:c>
      <x:c r="C326" s="23" t="n">
        <x:v>0</x:v>
      </x:c>
      <x:c r="D326" s="25" t="n">
        <x:f>'Subcriterion marks'!C17</x:f>
        <x:v>0</x:v>
      </x:c>
      <x:c r="E326" s="4" t="str">
        <x:v>uses Halpern's fifth edition instead of the designated core text.</x:v>
      </x:c>
    </x:row>
    <x:row r="327" ht="62" customHeight="1">
      <x:c r="A327" s="8" t="str">
        <x:v>Participant_555074_assignsubmission_file</x:v>
      </x:c>
      <x:c r="B327" s="8" t="str">
        <x:v>C1C</x:v>
      </x:c>
      <x:c r="C327" s="24" t="n">
        <x:v>1</x:v>
      </x:c>
      <x:c r="D327" s="26" t="n">
        <x:f>'Subcriterion marks'!D17</x:f>
        <x:v>70</x:v>
      </x:c>
      <x:c r="E327" s="22" t="str">
        <x:v>components are explicitly mapped and relevant counterarguments identified.</x:v>
      </x:c>
    </x:row>
    <x:row r="328" ht="62" customHeight="1">
      <x:c r="A328" s="2" t="str">
        <x:v>Participant_555074_assignsubmission_file</x:v>
      </x:c>
      <x:c r="B328" s="2" t="str">
        <x:v>C1D</x:v>
      </x:c>
      <x:c r="C328" s="23" t="n">
        <x:v>1</x:v>
      </x:c>
      <x:c r="D328" s="25" t="n">
        <x:f>'Subcriterion marks'!E17</x:f>
        <x:v>70</x:v>
      </x:c>
      <x:c r="E328" s="4" t="str">
        <x:v>states a valid modus-ponens form and describes the final claim as probabilistic rather than absolute; substantive application weaknesses are assessed separately.</x:v>
      </x:c>
    </x:row>
    <x:row r="329" ht="62" customHeight="1">
      <x:c r="A329" s="8" t="str">
        <x:v>Participant_555074_assignsubmission_file</x:v>
      </x:c>
      <x:c r="B329" s="8" t="str">
        <x:v>C1E</x:v>
      </x:c>
      <x:c r="C329" s="24" t="n">
        <x:v>0.5</x:v>
      </x:c>
      <x:c r="D329" s="26" t="n">
        <x:f>'Subcriterion marks'!F17</x:f>
        <x:v>50</x:v>
      </x:c>
      <x:c r="E329" s="22" t="str">
        <x:v>useful protein definitions, but vegetarian and vegan/animal-free categories are conflated.</x:v>
      </x:c>
    </x:row>
    <x:row r="330" ht="62" customHeight="1">
      <x:c r="A330" s="2" t="str">
        <x:v>Participant_555074_assignsubmission_file</x:v>
      </x:c>
      <x:c r="B330" s="2" t="str">
        <x:v>C2A</x:v>
      </x:c>
      <x:c r="C330" s="23" t="n">
        <x:v>1</x:v>
      </x:c>
      <x:c r="D330" s="25" t="n">
        <x:f>'Subcriterion marks'!G17</x:f>
        <x:v>65</x:v>
      </x:c>
      <x:c r="E330" s="4" t="str">
        <x:v>clear, narrowly framed muscle-retention thesis.</x:v>
      </x:c>
    </x:row>
    <x:row r="331" ht="62" customHeight="1">
      <x:c r="A331" s="8" t="str">
        <x:v>Participant_555074_assignsubmission_file</x:v>
      </x:c>
      <x:c r="B331" s="8" t="str">
        <x:v>C2B</x:v>
      </x:c>
      <x:c r="C331" s="24" t="n">
        <x:v>0.5</x:v>
      </x:c>
      <x:c r="D331" s="26" t="n">
        <x:f>'Subcriterion marks'!H17</x:f>
        <x:v>50</x:v>
      </x:c>
      <x:c r="E331" s="22" t="str">
        <x:v>credible syntheses and funding questions are raised, but independence is asserted and trial findings are not critically inspected.</x:v>
      </x:c>
    </x:row>
    <x:row r="332" ht="62" customHeight="1">
      <x:c r="A332" s="2" t="str">
        <x:v>Participant_555074_assignsubmission_file</x:v>
      </x:c>
      <x:c r="B332" s="2" t="str">
        <x:v>C2C</x:v>
      </x:c>
      <x:c r="C332" s="23" t="n">
        <x:v>0.5</x:v>
      </x:c>
      <x:c r="D332" s="25" t="n">
        <x:f>'Subcriterion marks'!I17</x:f>
        <x:v>45</x:v>
      </x:c>
      <x:c r="E332" s="4" t="str">
        <x:v>protein-source comparisons do not establish that omnivorism is practically easier; eggs/dairy also fit vegetarian diets.</x:v>
      </x:c>
    </x:row>
    <x:row r="333" ht="62" customHeight="1">
      <x:c r="A333" s="8" t="str">
        <x:v>Participant_555074_assignsubmission_file</x:v>
      </x:c>
      <x:c r="B333" s="8" t="str">
        <x:v>C2D</x:v>
      </x:c>
      <x:c r="C333" s="24" t="n">
        <x:v>0.5</x:v>
      </x:c>
      <x:c r="D333" s="26" t="n">
        <x:f>'Subcriterion marks'!J17</x:f>
        <x:v>50</x:v>
      </x:c>
      <x:c r="E333" s="22" t="str">
        <x:v>scope boundaries are stated, but crucial diet-category and adherence assumptions remain untested.</x:v>
      </x:c>
    </x:row>
    <x:row r="334" ht="62" customHeight="1">
      <x:c r="A334" s="2" t="str">
        <x:v>Participant_555074_assignsubmission_file</x:v>
      </x:c>
      <x:c r="B334" s="2" t="str">
        <x:v>C2E</x:v>
      </x:c>
      <x:c r="C334" s="23" t="n">
        <x:v>0.5</x:v>
      </x:c>
      <x:c r="D334" s="25" t="n">
        <x:f>'Subcriterion marks'!K17</x:f>
        <x:v>50</x:v>
      </x:c>
      <x:c r="E334" s="4" t="str">
        <x:v>soy and varied vegetarian eating are acknowledged, then dismissed as unusually effortful without adequate evidence.</x:v>
      </x:c>
    </x:row>
    <x:row r="335" ht="62" customHeight="1">
      <x:c r="A335" s="8" t="str">
        <x:v>Participant_555074_assignsubmission_file</x:v>
      </x:c>
      <x:c r="B335" s="8" t="str">
        <x:v>C2F</x:v>
      </x:c>
      <x:c r="C335" s="24" t="n">
        <x:v>0.5</x:v>
      </x:c>
      <x:c r="D335" s="26" t="n">
        <x:f>'Subcriterion marks'!L17</x:f>
        <x:v>50</x:v>
      </x:c>
      <x:c r="E335" s="22" t="str">
        <x:v>awareness of bias does not fully control the preferred conclusion.</x:v>
      </x:c>
    </x:row>
    <x:row r="336" ht="62" customHeight="1">
      <x:c r="A336" s="2" t="str">
        <x:v>Participant_555074_assignsubmission_file</x:v>
      </x:c>
      <x:c r="B336" s="2" t="str">
        <x:v>C3A</x:v>
      </x:c>
      <x:c r="C336" s="23" t="n">
        <x:v>1</x:v>
      </x:c>
      <x:c r="D336" s="25" t="n">
        <x:f>'Subcriterion marks'!M17</x:f>
        <x:v>65</x:v>
      </x:c>
      <x:c r="E336" s="4" t="str">
        <x:v>Toulmin visibly structures the post, but a key warrant remains weak.</x:v>
      </x:c>
    </x:row>
    <x:row r="337" ht="62" customHeight="1">
      <x:c r="A337" s="8" t="str">
        <x:v>Participant_555074_assignsubmission_file</x:v>
      </x:c>
      <x:c r="B337" s="8" t="str">
        <x:v>C3B</x:v>
      </x:c>
      <x:c r="C337" s="24" t="n">
        <x:v>1</x:v>
      </x:c>
      <x:c r="D337" s="26" t="n">
        <x:f>'Subcriterion marks'!N17</x:f>
        <x:v>70</x:v>
      </x:c>
      <x:c r="E337" s="22" t="str">
        <x:v>Methods explicitly explains transparency and credibility techniques actually used.</x:v>
      </x:c>
    </x:row>
    <x:row r="338" ht="62" customHeight="1">
      <x:c r="A338" s="2" t="str">
        <x:v>Participant_555074_assignsubmission_file</x:v>
      </x:c>
      <x:c r="B338" s="2" t="str">
        <x:v>C3C</x:v>
      </x:c>
      <x:c r="C338" s="23" t="n">
        <x:v>0.5</x:v>
      </x:c>
      <x:c r="D338" s="25" t="n">
        <x:f>'Subcriterion marks'!O17</x:f>
        <x:v>50</x:v>
      </x:c>
      <x:c r="E338" s="4" t="str">
        <x:v>generally reasoned but overstates practical implications and uses an overly sharp dietary contrast.</x:v>
      </x:c>
    </x:row>
    <x:row r="339" ht="62" customHeight="1">
      <x:c r="A339" s="8" t="str">
        <x:v>Participant_555074_assignsubmission_file</x:v>
      </x:c>
      <x:c r="B339" s="8" t="str">
        <x:v>C3D</x:v>
      </x:c>
      <x:c r="C339" s="24" t="n">
        <x:v>1</x:v>
      </x:c>
      <x:c r="D339" s="26" t="n">
        <x:f>'Subcriterion marks'!P17</x:f>
        <x:v>80</x:v>
      </x:c>
      <x:c r="E339" s="22" t="str">
        <x:v>distinctive, engaging public-facing voice.</x:v>
      </x:c>
    </x:row>
    <x:row r="340" ht="62" customHeight="1">
      <x:c r="A340" s="2" t="str">
        <x:v>Participant_555074_assignsubmission_file</x:v>
      </x:c>
      <x:c r="B340" s="2" t="str">
        <x:v>C3E</x:v>
      </x:c>
      <x:c r="C340" s="23" t="n">
        <x:v>0.5</x:v>
      </x:c>
      <x:c r="D340" s="25" t="n">
        <x:f>'Subcriterion marks'!Q17</x:f>
        <x:v>50</x:v>
      </x:c>
      <x:c r="E340" s="4" t="str">
        <x:v>category conflation can mislead despite clear prose.</x:v>
      </x:c>
    </x:row>
    <x:row r="341" ht="62" customHeight="1">
      <x:c r="A341" s="8" t="str">
        <x:v>Participant_555074_assignsubmission_file</x:v>
      </x:c>
      <x:c r="B341" s="8" t="str">
        <x:v>C4A</x:v>
      </x:c>
      <x:c r="C341" s="24" t="n">
        <x:v>1</x:v>
      </x:c>
      <x:c r="D341" s="26" t="n">
        <x:f>'Subcriterion marks'!R17</x:f>
        <x:v>70</x:v>
      </x:c>
      <x:c r="E341" s="22" t="str">
        <x:v>readable, lively prose with some long sentences.</x:v>
      </x:c>
    </x:row>
    <x:row r="342" ht="62" customHeight="1">
      <x:c r="A342" s="2" t="str">
        <x:v>Participant_555074_assignsubmission_file</x:v>
      </x:c>
      <x:c r="B342" s="2" t="str">
        <x:v>C4B</x:v>
      </x:c>
      <x:c r="C342" s="23" t="n">
        <x:v>1</x:v>
      </x:c>
      <x:c r="D342" s="25" t="n">
        <x:f>'Subcriterion marks'!S17</x:f>
        <x:v>70</x:v>
      </x:c>
      <x:c r="E342" s="4" t="str">
        <x:v>coherent sequence of mechanism, counterargument and reflection.</x:v>
      </x:c>
    </x:row>
    <x:row r="343" ht="62" customHeight="1">
      <x:c r="A343" s="8" t="str">
        <x:v>Participant_555074_assignsubmission_file</x:v>
      </x:c>
      <x:c r="B343" s="8" t="str">
        <x:v>C4C</x:v>
      </x:c>
      <x:c r="C343" s="24" t="n">
        <x:v>0.5</x:v>
      </x:c>
      <x:c r="D343" s="26" t="n">
        <x:f>'Subcriterion marks'!T17</x:f>
        <x:v>55</x:v>
      </x:c>
      <x:c r="E343" s="22" t="str">
        <x:v>clear question, but the final recommendation does not fully resolve the vegetarian/animal-protein distinction.</x:v>
      </x:c>
    </x:row>
    <x:row r="344" ht="62" customHeight="1">
      <x:c r="A344" s="2" t="str">
        <x:v>Participant_555074_assignsubmission_file</x:v>
      </x:c>
      <x:c r="B344" s="2" t="str">
        <x:v>C4D</x:v>
      </x:c>
      <x:c r="C344" s="23" t="n">
        <x:v>1</x:v>
      </x:c>
      <x:c r="D344" s="25" t="n">
        <x:f>'Subcriterion marks'!U17</x:f>
        <x:v>75</x:v>
      </x:c>
      <x:c r="E344" s="4" t="str">
        <x:v>cheque/transfer analogy and food examples clarify digestibility; gym experience is illustrative rather than sufficient proof.</x:v>
      </x:c>
    </x:row>
    <x:row r="345" ht="62" customHeight="1">
      <x:c r="A345" s="8" t="str">
        <x:v>Participant_555074_assignsubmission_file</x:v>
      </x:c>
      <x:c r="B345" s="8" t="str">
        <x:v>C4E</x:v>
      </x:c>
      <x:c r="C345" s="24" t="n">
        <x:v>1</x:v>
      </x:c>
      <x:c r="D345" s="26" t="n">
        <x:f>'Subcriterion marks'!V17</x:f>
        <x:v>70</x:v>
      </x:c>
      <x:c r="E345" s="22" t="str">
        <x:v>largely accurate expression.</x:v>
      </x:c>
    </x:row>
    <x:row r="346" ht="62" customHeight="1">
      <x:c r="A346" s="2" t="str">
        <x:v>Participant_555074_assignsubmission_file</x:v>
      </x:c>
      <x:c r="B346" s="2" t="str">
        <x:v>C4F</x:v>
      </x:c>
      <x:c r="C346" s="23" t="n">
        <x:v>1</x:v>
      </x:c>
      <x:c r="D346" s="25" t="n">
        <x:f>'Subcriterion marks'!W17</x:f>
        <x:v>70</x:v>
      </x:c>
      <x:c r="E346" s="4" t="str">
        <x:v>visible citations/references are consistent, subject to typography.</x:v>
      </x:c>
    </x:row>
    <x:row r="347" ht="62" customHeight="1">
      <x:c r="A347" s="8" t="str">
        <x:v>Participant_555074_assignsubmission_file</x:v>
      </x:c>
      <x:c r="B347" s="8" t="str">
        <x:v>C4G</x:v>
      </x:c>
      <x:c r="C347" s="24" t="n">
        <x:v>1</x:v>
      </x:c>
      <x:c r="D347" s="26" t="n">
        <x:f>'Subcriterion marks'!X17</x:f>
        <x:v>75</x:v>
      </x:c>
      <x:c r="E347" s="22" t="str">
        <x:v>approximately 1,444 blog words and correct structure.</x:v>
      </x:c>
    </x:row>
    <x:row r="348" ht="62" customHeight="1">
      <x:c r="A348" s="2" t="str">
        <x:v>Participant_555074_assignsubmission_file</x:v>
      </x:c>
      <x:c r="B348" s="2" t="str">
        <x:v>C5A</x:v>
      </x:c>
      <x:c r="C348" s="23" t="n">
        <x:v>0.5</x:v>
      </x:c>
      <x:c r="D348" s="25" t="n">
        <x:f>'Subcriterion marks'!Y17</x:f>
        <x:v>55</x:v>
      </x:c>
      <x:c r="E348" s="4" t="str">
        <x:v>seven relevant sources.</x:v>
      </x:c>
    </x:row>
    <x:row r="349" ht="62" customHeight="1">
      <x:c r="A349" s="8" t="str">
        <x:v>Participant_555074_assignsubmission_file</x:v>
      </x:c>
      <x:c r="B349" s="8" t="str">
        <x:v>C5B</x:v>
      </x:c>
      <x:c r="C349" s="24" t="n">
        <x:v>1</x:v>
      </x:c>
      <x:c r="D349" s="26" t="n">
        <x:f>'Subcriterion marks'!Z17</x:f>
        <x:v>75</x:v>
      </x:c>
      <x:c r="E349" s="22" t="str">
        <x:v>predominantly credible scholarly material.</x:v>
      </x:c>
    </x:row>
    <x:row r="350" ht="62" customHeight="1">
      <x:c r="A350" s="2" t="str">
        <x:v>Participant_555074_assignsubmission_file</x:v>
      </x:c>
      <x:c r="B350" s="2" t="str">
        <x:v>C5C</x:v>
      </x:c>
      <x:c r="C350" s="23" t="n">
        <x:v>1</x:v>
      </x:c>
      <x:c r="D350" s="25" t="n">
        <x:f>'Subcriterion marks'!AA17</x:f>
        <x:v>70</x:v>
      </x:c>
      <x:c r="E350" s="4" t="str">
        <x:v>recent nutrition reviews combined with foundational theory.</x:v>
      </x:c>
    </x:row>
    <x:row r="351" ht="62" customHeight="1">
      <x:c r="A351" s="8" t="str">
        <x:v>Participant_555074_assignsubmission_file</x:v>
      </x:c>
      <x:c r="B351" s="8" t="str">
        <x:v>C5D</x:v>
      </x:c>
      <x:c r="C351" s="24" t="n">
        <x:v>0.5</x:v>
      </x:c>
      <x:c r="D351" s="26" t="n">
        <x:f>'Subcriterion marks'!AB17</x:f>
        <x:v>40</x:v>
      </x:c>
      <x:c r="E351" s="22" t="str">
        <x:v>primary belief-bias study is used, but substantive nutrition claims remain secondary.</x:v>
      </x:c>
    </x:row>
    <x:row r="352" ht="62" customHeight="1">
      <x:c r="A352" s="2" t="str">
        <x:v>Participant_555074_assignsubmission_file</x:v>
      </x:c>
      <x:c r="B352" s="2" t="str">
        <x:v>C5E</x:v>
      </x:c>
      <x:c r="C352" s="23" t="n">
        <x:v>1</x:v>
      </x:c>
      <x:c r="D352" s="25" t="n">
        <x:f>'Subcriterion marks'!AC17</x:f>
        <x:v>70</x:v>
      </x:c>
      <x:c r="E352" s="4" t="str">
        <x:v>multiple relevant systematic reviews/meta-analyses.</x:v>
      </x:c>
    </x:row>
    <x:row r="353" ht="62" customHeight="1">
      <x:c r="A353" s="8" t="str">
        <x:v>Participant_555074_assignsubmission_file</x:v>
      </x:c>
      <x:c r="B353" s="8" t="str">
        <x:v>C5F</x:v>
      </x:c>
      <x:c r="C353" s="24" t="n">
        <x:v>0.5</x:v>
      </x:c>
      <x:c r="D353" s="26" t="n">
        <x:f>'Subcriterion marks'!AD17</x:f>
        <x:v>55</x:v>
      </x:c>
      <x:c r="E353" s="22" t="str">
        <x:v>evidence is organised around a thesis, but the crucial practical inference is insufficiently established.</x:v>
      </x:c>
    </x:row>
    <x:row r="354" ht="62" customHeight="1">
      <x:c r="A354" s="2" t="str">
        <x:v>Participant_555076_assignsubmission_file</x:v>
      </x:c>
      <x:c r="B354" s="2" t="str">
        <x:v>C1A</x:v>
      </x:c>
      <x:c r="C354" s="23" t="n">
        <x:v>1</x:v>
      </x:c>
      <x:c r="D354" s="25" t="n">
        <x:f>'Subcriterion marks'!B18</x:f>
        <x:v>65</x:v>
      </x:c>
      <x:c r="E354" s="4" t="str">
        <x:v>explains System 1/2 and bias control, with limited developed application.</x:v>
      </x:c>
    </x:row>
    <x:row r="355" ht="62" customHeight="1">
      <x:c r="A355" s="8" t="str">
        <x:v>Participant_555076_assignsubmission_file</x:v>
      </x:c>
      <x:c r="B355" s="8" t="str">
        <x:v>C1B</x:v>
      </x:c>
      <x:c r="C355" s="24" t="n">
        <x:v>0</x:v>
      </x:c>
      <x:c r="D355" s="26" t="n">
        <x:f>'Subcriterion marks'!C18</x:f>
        <x:v>0</x:v>
      </x:c>
      <x:c r="E355" s="22" t="str">
        <x:v>substitutes the 2021 Halpern and Dunn article; an orphan 2023 citation does not establish core-text use.</x:v>
      </x:c>
    </x:row>
    <x:row r="356" ht="62" customHeight="1">
      <x:c r="A356" s="2" t="str">
        <x:v>Participant_555076_assignsubmission_file</x:v>
      </x:c>
      <x:c r="B356" s="2" t="str">
        <x:v>C1C</x:v>
      </x:c>
      <x:c r="C356" s="23" t="n">
        <x:v>0.5</x:v>
      </x:c>
      <x:c r="D356" s="25" t="n">
        <x:f>'Subcriterion marks'!D18</x:f>
        <x:v>55</x:v>
      </x:c>
      <x:c r="E356" s="4" t="str">
        <x:v>claim and reasons are clear, but framework components remain generic.</x:v>
      </x:c>
    </x:row>
    <x:row r="357" ht="62" customHeight="1">
      <x:c r="A357" s="8" t="str">
        <x:v>Participant_555076_assignsubmission_file</x:v>
      </x:c>
      <x:c r="B357" s="8" t="str">
        <x:v>C1D</x:v>
      </x:c>
      <x:c r="C357" s="24" t="n">
        <x:v>0</x:v>
      </x:c>
      <x:c r="D357" s="26" t="n">
        <x:f>'Subcriterion marks'!E18</x:f>
        <x:v>0</x:v>
      </x:c>
      <x:c r="E357" s="22" t="str">
        <x:v>principal reasoning form absent.</x:v>
      </x:c>
    </x:row>
    <x:row r="358" ht="62" customHeight="1">
      <x:c r="A358" s="2" t="str">
        <x:v>Participant_555076_assignsubmission_file</x:v>
      </x:c>
      <x:c r="B358" s="2" t="str">
        <x:v>C1E</x:v>
      </x:c>
      <x:c r="C358" s="23" t="n">
        <x:v>1</x:v>
      </x:c>
      <x:c r="D358" s="25" t="n">
        <x:f>'Subcriterion marks'!F18</x:f>
        <x:v>65</x:v>
      </x:c>
      <x:c r="E358" s="4" t="str">
        <x:v>blended learning and interaction are explained accessibly.</x:v>
      </x:c>
    </x:row>
    <x:row r="359" ht="62" customHeight="1">
      <x:c r="A359" s="8" t="str">
        <x:v>Participant_555076_assignsubmission_file</x:v>
      </x:c>
      <x:c r="B359" s="8" t="str">
        <x:v>C2A</x:v>
      </x:c>
      <x:c r="C359" s="24" t="n">
        <x:v>1</x:v>
      </x:c>
      <x:c r="D359" s="26" t="n">
        <x:f>'Subcriterion marks'!G18</x:f>
        <x:v>65</x:v>
      </x:c>
      <x:c r="E359" s="22" t="str">
        <x:v>coherent blended-learning position.</x:v>
      </x:c>
    </x:row>
    <x:row r="360" ht="62" customHeight="1">
      <x:c r="A360" s="2" t="str">
        <x:v>Participant_555076_assignsubmission_file</x:v>
      </x:c>
      <x:c r="B360" s="2" t="str">
        <x:v>C2B</x:v>
      </x:c>
      <x:c r="C360" s="23" t="n">
        <x:v>0.5</x:v>
      </x:c>
      <x:c r="D360" s="25" t="n">
        <x:f>'Subcriterion marks'!H18</x:f>
        <x:v>45</x:v>
      </x:c>
      <x:c r="E360" s="4" t="str">
        <x:v>credible research is cited, but study quality is little evaluated and some attributions are mismatched.</x:v>
      </x:c>
    </x:row>
    <x:row r="361" ht="62" customHeight="1">
      <x:c r="A361" s="8" t="str">
        <x:v>Participant_555076_assignsubmission_file</x:v>
      </x:c>
      <x:c r="B361" s="8" t="str">
        <x:v>C2C</x:v>
      </x:c>
      <x:c r="C361" s="24" t="n">
        <x:v>0.5</x:v>
      </x:c>
      <x:c r="D361" s="26" t="n">
        <x:f>'Subcriterion marks'!I18</x:f>
        <x:v>55</x:v>
      </x:c>
      <x:c r="E361" s="22" t="str">
        <x:v>acknowledges interaction and access mechanisms, without testing alternative explanations.</x:v>
      </x:c>
    </x:row>
    <x:row r="362" ht="62" customHeight="1">
      <x:c r="A362" s="2" t="str">
        <x:v>Participant_555076_assignsubmission_file</x:v>
      </x:c>
      <x:c r="B362" s="2" t="str">
        <x:v>C2D</x:v>
      </x:c>
      <x:c r="C362" s="23" t="n">
        <x:v>0.5</x:v>
      </x:c>
      <x:c r="D362" s="25" t="n">
        <x:f>'Subcriterion marks'!J18</x:f>
        <x:v>55</x:v>
      </x:c>
      <x:c r="E362" s="4" t="str">
        <x:v>context and access limits are recognised but research boundaries remain general.</x:v>
      </x:c>
    </x:row>
    <x:row r="363" ht="62" customHeight="1">
      <x:c r="A363" s="8" t="str">
        <x:v>Participant_555076_assignsubmission_file</x:v>
      </x:c>
      <x:c r="B363" s="8" t="str">
        <x:v>C2E</x:v>
      </x:c>
      <x:c r="C363" s="24" t="n">
        <x:v>0.5</x:v>
      </x:c>
      <x:c r="D363" s="26" t="n">
        <x:f>'Subcriterion marks'!K18</x:f>
        <x:v>50</x:v>
      </x:c>
      <x:c r="E363" s="22" t="str">
        <x:v>opposing benefits are acknowledged more than critically examined.</x:v>
      </x:c>
    </x:row>
    <x:row r="364" ht="62" customHeight="1">
      <x:c r="A364" s="2" t="str">
        <x:v>Participant_555076_assignsubmission_file</x:v>
      </x:c>
      <x:c r="B364" s="2" t="str">
        <x:v>C2F</x:v>
      </x:c>
      <x:c r="C364" s="23" t="n">
        <x:v>1</x:v>
      </x:c>
      <x:c r="D364" s="25" t="n">
        <x:f>'Subcriterion marks'!L18</x:f>
        <x:v>65</x:v>
      </x:c>
      <x:c r="E364" s="4" t="str">
        <x:v>personal parental experience illustrates rather than proves the argument; confirmation bias is considered.</x:v>
      </x:c>
    </x:row>
    <x:row r="365" ht="62" customHeight="1">
      <x:c r="A365" s="8" t="str">
        <x:v>Participant_555076_assignsubmission_file</x:v>
      </x:c>
      <x:c r="B365" s="8" t="str">
        <x:v>C3A</x:v>
      </x:c>
      <x:c r="C365" s="24" t="n">
        <x:v>0.5</x:v>
      </x:c>
      <x:c r="D365" s="26" t="n">
        <x:f>'Subcriterion marks'!M18</x:f>
        <x:v>55</x:v>
      </x:c>
      <x:c r="E365" s="22" t="str">
        <x:v>some visible qualified argument structure, with generic framework explanation.</x:v>
      </x:c>
    </x:row>
    <x:row r="366" ht="62" customHeight="1">
      <x:c r="A366" s="2" t="str">
        <x:v>Participant_555076_assignsubmission_file</x:v>
      </x:c>
      <x:c r="B366" s="2" t="str">
        <x:v>C3B</x:v>
      </x:c>
      <x:c r="C366" s="23" t="n">
        <x:v>0.5</x:v>
      </x:c>
      <x:c r="D366" s="25" t="n">
        <x:f>'Subcriterion marks'!N18</x:f>
        <x:v>50</x:v>
      </x:c>
      <x:c r="E366" s="4" t="str">
        <x:v>examples and accessible framing persuade, but technique explanation is limited.</x:v>
      </x:c>
    </x:row>
    <x:row r="367" ht="62" customHeight="1">
      <x:c r="A367" s="8" t="str">
        <x:v>Participant_555076_assignsubmission_file</x:v>
      </x:c>
      <x:c r="B367" s="8" t="str">
        <x:v>C3C</x:v>
      </x:c>
      <x:c r="C367" s="24" t="n">
        <x:v>0.5</x:v>
      </x:c>
      <x:c r="D367" s="26" t="n">
        <x:f>'Subcriterion marks'!O18</x:f>
        <x:v>55</x:v>
      </x:c>
      <x:c r="E367" s="22" t="str">
        <x:v>broadly fair persuasion, weakened by unsupported attribution.</x:v>
      </x:c>
    </x:row>
    <x:row r="368" ht="62" customHeight="1">
      <x:c r="A368" s="2" t="str">
        <x:v>Participant_555076_assignsubmission_file</x:v>
      </x:c>
      <x:c r="B368" s="2" t="str">
        <x:v>C3D</x:v>
      </x:c>
      <x:c r="C368" s="23" t="n">
        <x:v>1</x:v>
      </x:c>
      <x:c r="D368" s="25" t="n">
        <x:f>'Subcriterion marks'!P18</x:f>
        <x:v>70</x:v>
      </x:c>
      <x:c r="E368" s="4" t="str">
        <x:v>engaging public-facing title and voice.</x:v>
      </x:c>
    </x:row>
    <x:row r="369" ht="62" customHeight="1">
      <x:c r="A369" s="8" t="str">
        <x:v>Participant_555076_assignsubmission_file</x:v>
      </x:c>
      <x:c r="B369" s="8" t="str">
        <x:v>C3E</x:v>
      </x:c>
      <x:c r="C369" s="24" t="n">
        <x:v>0.5</x:v>
      </x:c>
      <x:c r="D369" s="26" t="n">
        <x:f>'Subcriterion marks'!Q18</x:f>
        <x:v>55</x:v>
      </x:c>
      <x:c r="E369" s="22" t="str">
        <x:v>mostly relevant and clear, with claims whose cited support is uncertain.</x:v>
      </x:c>
    </x:row>
    <x:row r="370" ht="62" customHeight="1">
      <x:c r="A370" s="2" t="str">
        <x:v>Participant_555076_assignsubmission_file</x:v>
      </x:c>
      <x:c r="B370" s="2" t="str">
        <x:v>C4A</x:v>
      </x:c>
      <x:c r="C370" s="23" t="n">
        <x:v>1</x:v>
      </x:c>
      <x:c r="D370" s="25" t="n">
        <x:f>'Subcriterion marks'!R18</x:f>
        <x:v>70</x:v>
      </x:c>
      <x:c r="E370" s="4" t="str">
        <x:v>readable and concise.</x:v>
      </x:c>
    </x:row>
    <x:row r="371" ht="62" customHeight="1">
      <x:c r="A371" s="8" t="str">
        <x:v>Participant_555076_assignsubmission_file</x:v>
      </x:c>
      <x:c r="B371" s="8" t="str">
        <x:v>C4B</x:v>
      </x:c>
      <x:c r="C371" s="24" t="n">
        <x:v>1</x:v>
      </x:c>
      <x:c r="D371" s="26" t="n">
        <x:f>'Subcriterion marks'!S18</x:f>
        <x:v>65</x:v>
      </x:c>
      <x:c r="E371" s="22" t="str">
        <x:v>clear sequence, though compressed development.</x:v>
      </x:c>
    </x:row>
    <x:row r="372" ht="62" customHeight="1">
      <x:c r="A372" s="2" t="str">
        <x:v>Participant_555076_assignsubmission_file</x:v>
      </x:c>
      <x:c r="B372" s="2" t="str">
        <x:v>C4C</x:v>
      </x:c>
      <x:c r="C372" s="23" t="n">
        <x:v>1</x:v>
      </x:c>
      <x:c r="D372" s="25" t="n">
        <x:f>'Subcriterion marks'!T18</x:f>
        <x:v>65</x:v>
      </x:c>
      <x:c r="E372" s="4" t="str">
        <x:v>introduction and conclusion align.</x:v>
      </x:c>
    </x:row>
    <x:row r="373" ht="62" customHeight="1">
      <x:c r="A373" s="8" t="str">
        <x:v>Participant_555076_assignsubmission_file</x:v>
      </x:c>
      <x:c r="B373" s="8" t="str">
        <x:v>C4D</x:v>
      </x:c>
      <x:c r="C373" s="24" t="n">
        <x:v>1</x:v>
      </x:c>
      <x:c r="D373" s="26" t="n">
        <x:f>'Subcriterion marks'!U18</x:f>
        <x:v>70</x:v>
      </x:c>
      <x:c r="E373" s="22" t="str">
        <x:v>parental and learning-environment examples clarify practical issues.</x:v>
      </x:c>
    </x:row>
    <x:row r="374" ht="62" customHeight="1">
      <x:c r="A374" s="2" t="str">
        <x:v>Participant_555076_assignsubmission_file</x:v>
      </x:c>
      <x:c r="B374" s="2" t="str">
        <x:v>C4E</x:v>
      </x:c>
      <x:c r="C374" s="23" t="n">
        <x:v>1</x:v>
      </x:c>
      <x:c r="D374" s="25" t="n">
        <x:f>'Subcriterion marks'!V18</x:f>
        <x:v>70</x:v>
      </x:c>
      <x:c r="E374" s="4" t="str">
        <x:v>generally accurate written English.</x:v>
      </x:c>
    </x:row>
    <x:row r="375" ht="62" customHeight="1">
      <x:c r="A375" s="8" t="str">
        <x:v>Participant_555076_assignsubmission_file</x:v>
      </x:c>
      <x:c r="B375" s="8" t="str">
        <x:v>C4F</x:v>
      </x:c>
      <x:c r="C375" s="24" t="n">
        <x:v>0.5</x:v>
      </x:c>
      <x:c r="D375" s="26" t="n">
        <x:f>'Subcriterion marks'!W18</x:f>
        <x:v>40</x:v>
      </x:c>
      <x:c r="E375" s="22" t="str">
        <x:v>orphan core citation, uncited material and misattributed findings weaken reference correspondence.</x:v>
      </x:c>
    </x:row>
    <x:row r="376" ht="62" customHeight="1">
      <x:c r="A376" s="2" t="str">
        <x:v>Participant_555076_assignsubmission_file</x:v>
      </x:c>
      <x:c r="B376" s="2" t="str">
        <x:v>C4G</x:v>
      </x:c>
      <x:c r="C376" s="23" t="n">
        <x:v>0</x:v>
      </x:c>
      <x:c r="D376" s="25" t="n">
        <x:f>'Subcriterion marks'!X18</x:f>
        <x:v>25</x:v>
      </x:c>
      <x:c r="E376" s="4" t="str">
        <x:v>approximately 844 blog words and two Methods paragraphs; major failure to meet required scope and format.</x:v>
      </x:c>
    </x:row>
    <x:row r="377" ht="62" customHeight="1">
      <x:c r="A377" s="8" t="str">
        <x:v>Participant_555076_assignsubmission_file</x:v>
      </x:c>
      <x:c r="B377" s="8" t="str">
        <x:v>C5A</x:v>
      </x:c>
      <x:c r="C377" s="24" t="n">
        <x:v>1</x:v>
      </x:c>
      <x:c r="D377" s="26" t="n">
        <x:f>'Subcriterion marks'!Y18</x:f>
        <x:v>65</x:v>
      </x:c>
      <x:c r="E377" s="22" t="str">
        <x:v>twelve listed references provide breadth, reduced by unused or mismatched material.</x:v>
      </x:c>
    </x:row>
    <x:row r="378" ht="62" customHeight="1">
      <x:c r="A378" s="2" t="str">
        <x:v>Participant_555076_assignsubmission_file</x:v>
      </x:c>
      <x:c r="B378" s="2" t="str">
        <x:v>C5B</x:v>
      </x:c>
      <x:c r="C378" s="23" t="n">
        <x:v>1</x:v>
      </x:c>
      <x:c r="D378" s="25" t="n">
        <x:f>'Subcriterion marks'!Z18</x:f>
        <x:v>70</x:v>
      </x:c>
      <x:c r="E378" s="4" t="str">
        <x:v>largely scholarly and authoritative institutional sources.</x:v>
      </x:c>
    </x:row>
    <x:row r="379" ht="62" customHeight="1">
      <x:c r="A379" s="8" t="str">
        <x:v>Participant_555076_assignsubmission_file</x:v>
      </x:c>
      <x:c r="B379" s="8" t="str">
        <x:v>C5C</x:v>
      </x:c>
      <x:c r="C379" s="24" t="n">
        <x:v>1</x:v>
      </x:c>
      <x:c r="D379" s="26" t="n">
        <x:f>'Subcriterion marks'!AA18</x:f>
        <x:v>65</x:v>
      </x:c>
      <x:c r="E379" s="22" t="str">
        <x:v>current research and older theory.</x:v>
      </x:c>
    </x:row>
    <x:row r="380" ht="62" customHeight="1">
      <x:c r="A380" s="2" t="str">
        <x:v>Participant_555076_assignsubmission_file</x:v>
      </x:c>
      <x:c r="B380" s="2" t="str">
        <x:v>C5D</x:v>
      </x:c>
      <x:c r="C380" s="23" t="n">
        <x:v>0.5</x:v>
      </x:c>
      <x:c r="D380" s="25" t="n">
        <x:f>'Subcriterion marks'!AB18</x:f>
        <x:v>45</x:v>
      </x:c>
      <x:c r="E380" s="4" t="str">
        <x:v>direct studies are present, but some claims are misattributed and heavily reliant on syntheses.</x:v>
      </x:c>
    </x:row>
    <x:row r="381" ht="62" customHeight="1">
      <x:c r="A381" s="8" t="str">
        <x:v>Participant_555076_assignsubmission_file</x:v>
      </x:c>
      <x:c r="B381" s="8" t="str">
        <x:v>C5E</x:v>
      </x:c>
      <x:c r="C381" s="24" t="n">
        <x:v>1</x:v>
      </x:c>
      <x:c r="D381" s="26" t="n">
        <x:f>'Subcriterion marks'!AC18</x:f>
        <x:v>65</x:v>
      </x:c>
      <x:c r="E381" s="22" t="str">
        <x:v>relevant reviews and meta-analysis.</x:v>
      </x:c>
    </x:row>
    <x:row r="382" ht="62" customHeight="1">
      <x:c r="A382" s="2" t="str">
        <x:v>Participant_555076_assignsubmission_file</x:v>
      </x:c>
      <x:c r="B382" s="2" t="str">
        <x:v>C5F</x:v>
      </x:c>
      <x:c r="C382" s="23" t="n">
        <x:v>0.5</x:v>
      </x:c>
      <x:c r="D382" s="25" t="n">
        <x:f>'Subcriterion marks'!AD18</x:f>
        <x:v>50</x:v>
      </x:c>
      <x:c r="E382" s="4" t="str">
        <x:v>limited critical integration; several sources function as supporting statements.</x:v>
      </x:c>
    </x:row>
    <x:row r="383" ht="62" customHeight="1">
      <x:c r="A383" s="8" t="str">
        <x:v>Participant_555077_assignsubmission_file</x:v>
      </x:c>
      <x:c r="B383" s="8" t="str">
        <x:v>C1A</x:v>
      </x:c>
      <x:c r="C383" s="24" t="n">
        <x:v>1</x:v>
      </x:c>
      <x:c r="D383" s="26" t="n">
        <x:f>'Subcriterion marks'!B19</x:f>
        <x:v>65</x:v>
      </x:c>
      <x:c r="E383" s="22" t="str">
        <x:v>purposeful critical-thinking principles, with fairly generic Methods explanation.</x:v>
      </x:c>
    </x:row>
    <x:row r="384" ht="62" customHeight="1">
      <x:c r="A384" s="2" t="str">
        <x:v>Participant_555077_assignsubmission_file</x:v>
      </x:c>
      <x:c r="B384" s="2" t="str">
        <x:v>C1B</x:v>
      </x:c>
      <x:c r="C384" s="23" t="n">
        <x:v>0</x:v>
      </x:c>
      <x:c r="D384" s="25" t="n">
        <x:f>'Subcriterion marks'!C19</x:f>
        <x:v>0</x:v>
      </x:c>
      <x:c r="E384" s="4" t="str">
        <x:v>uses Halpern 2014 rather than the required core text.</x:v>
      </x:c>
    </x:row>
    <x:row r="385" ht="62" customHeight="1">
      <x:c r="A385" s="8" t="str">
        <x:v>Participant_555077_assignsubmission_file</x:v>
      </x:c>
      <x:c r="B385" s="8" t="str">
        <x:v>C1C</x:v>
      </x:c>
      <x:c r="C385" s="24" t="n">
        <x:v>1</x:v>
      </x:c>
      <x:c r="D385" s="26" t="n">
        <x:f>'Subcriterion marks'!D19</x:f>
        <x:v>65</x:v>
      </x:c>
      <x:c r="E385" s="22" t="str">
        <x:v>claim, evidence and qualifications are linked.</x:v>
      </x:c>
    </x:row>
    <x:row r="386" ht="62" customHeight="1">
      <x:c r="A386" s="2" t="str">
        <x:v>Participant_555077_assignsubmission_file</x:v>
      </x:c>
      <x:c r="B386" s="2" t="str">
        <x:v>C1D</x:v>
      </x:c>
      <x:c r="C386" s="23" t="n">
        <x:v>0</x:v>
      </x:c>
      <x:c r="D386" s="25" t="n">
        <x:f>'Subcriterion marks'!E19</x:f>
        <x:v>0</x:v>
      </x:c>
      <x:c r="E386" s="4" t="str">
        <x:v>no principal inference type identified.</x:v>
      </x:c>
    </x:row>
    <x:row r="387" ht="62" customHeight="1">
      <x:c r="A387" s="8" t="str">
        <x:v>Participant_555077_assignsubmission_file</x:v>
      </x:c>
      <x:c r="B387" s="8" t="str">
        <x:v>C1E</x:v>
      </x:c>
      <x:c r="C387" s="24" t="n">
        <x:v>1</x:v>
      </x:c>
      <x:c r="D387" s="26" t="n">
        <x:f>'Subcriterion marks'!F19</x:f>
        <x:v>65</x:v>
      </x:c>
      <x:c r="E387" s="22" t="str">
        <x:v>automation bias and independent thinking are explained.</x:v>
      </x:c>
    </x:row>
    <x:row r="388" ht="62" customHeight="1">
      <x:c r="A388" s="2" t="str">
        <x:v>Participant_555077_assignsubmission_file</x:v>
      </x:c>
      <x:c r="B388" s="2" t="str">
        <x:v>C2A</x:v>
      </x:c>
      <x:c r="C388" s="23" t="n">
        <x:v>1</x:v>
      </x:c>
      <x:c r="D388" s="25" t="n">
        <x:f>'Subcriterion marks'!G19</x:f>
        <x:v>70</x:v>
      </x:c>
      <x:c r="E388" s="4" t="str">
        <x:v>coherent conditional integration thesis.</x:v>
      </x:c>
    </x:row>
    <x:row r="389" ht="62" customHeight="1">
      <x:c r="A389" s="8" t="str">
        <x:v>Participant_555077_assignsubmission_file</x:v>
      </x:c>
      <x:c r="B389" s="8" t="str">
        <x:v>C2B</x:v>
      </x:c>
      <x:c r="C389" s="24" t="n">
        <x:v>0.5</x:v>
      </x:c>
      <x:c r="D389" s="26" t="n">
        <x:f>'Subcriterion marks'!H19</x:f>
        <x:v>55</x:v>
      </x:c>
      <x:c r="E389" s="22" t="str">
        <x:v>identifies an RCT and reviews, but little comparative evaluation of quality.</x:v>
      </x:c>
    </x:row>
    <x:row r="390" ht="62" customHeight="1">
      <x:c r="A390" s="2" t="str">
        <x:v>Participant_555077_assignsubmission_file</x:v>
      </x:c>
      <x:c r="B390" s="2" t="str">
        <x:v>C2C</x:v>
      </x:c>
      <x:c r="C390" s="23" t="n">
        <x:v>1</x:v>
      </x:c>
      <x:c r="D390" s="25" t="n">
        <x:f>'Subcriterion marks'!I19</x:f>
        <x:v>65</x:v>
      </x:c>
      <x:c r="E390" s="4" t="str">
        <x:v>avoids inferring universal effectiveness from one experiment.</x:v>
      </x:c>
    </x:row>
    <x:row r="391" ht="62" customHeight="1">
      <x:c r="A391" s="8" t="str">
        <x:v>Participant_555077_assignsubmission_file</x:v>
      </x:c>
      <x:c r="B391" s="8" t="str">
        <x:v>C2D</x:v>
      </x:c>
      <x:c r="C391" s="24" t="n">
        <x:v>1</x:v>
      </x:c>
      <x:c r="D391" s="26" t="n">
        <x:f>'Subcriterion marks'!J19</x:f>
        <x:v>65</x:v>
      </x:c>
      <x:c r="E391" s="22" t="str">
        <x:v>explicitly limits transfer across ages, subjects and institutions.</x:v>
      </x:c>
    </x:row>
    <x:row r="392" ht="62" customHeight="1">
      <x:c r="A392" s="2" t="str">
        <x:v>Participant_555077_assignsubmission_file</x:v>
      </x:c>
      <x:c r="B392" s="2" t="str">
        <x:v>C2E</x:v>
      </x:c>
      <x:c r="C392" s="23" t="n">
        <x:v>0.5</x:v>
      </x:c>
      <x:c r="D392" s="25" t="n">
        <x:f>'Subcriterion marks'!K19</x:f>
        <x:v>55</x:v>
      </x:c>
      <x:c r="E392" s="4" t="str">
        <x:v>integrity and privacy objections are discussed without extensive contrary empirical evidence.</x:v>
      </x:c>
    </x:row>
    <x:row r="393" ht="62" customHeight="1">
      <x:c r="A393" s="8" t="str">
        <x:v>Participant_555077_assignsubmission_file</x:v>
      </x:c>
      <x:c r="B393" s="8" t="str">
        <x:v>C2F</x:v>
      </x:c>
      <x:c r="C393" s="24" t="n">
        <x:v>1</x:v>
      </x:c>
      <x:c r="D393" s="26" t="n">
        <x:f>'Subcriterion marks'!L19</x:f>
        <x:v>65</x:v>
      </x:c>
      <x:c r="E393" s="22" t="str">
        <x:v>automation bias is defined and connected to student behaviour.</x:v>
      </x:c>
    </x:row>
    <x:row r="394" ht="62" customHeight="1">
      <x:c r="A394" s="2" t="str">
        <x:v>Participant_555077_assignsubmission_file</x:v>
      </x:c>
      <x:c r="B394" s="2" t="str">
        <x:v>C3A</x:v>
      </x:c>
      <x:c r="C394" s="23" t="n">
        <x:v>1</x:v>
      </x:c>
      <x:c r="D394" s="25" t="n">
        <x:f>'Subcriterion marks'!M19</x:f>
        <x:v>65</x:v>
      </x:c>
      <x:c r="E394" s="4" t="str">
        <x:v>qualified argument structure is visible, although Toulmin explanation remains general.</x:v>
      </x:c>
    </x:row>
    <x:row r="395" ht="62" customHeight="1">
      <x:c r="A395" s="8" t="str">
        <x:v>Participant_555077_assignsubmission_file</x:v>
      </x:c>
      <x:c r="B395" s="8" t="str">
        <x:v>C3B</x:v>
      </x:c>
      <x:c r="C395" s="24" t="n">
        <x:v>0.5</x:v>
      </x:c>
      <x:c r="D395" s="26" t="n">
        <x:f>'Subcriterion marks'!N19</x:f>
        <x:v>50</x:v>
      </x:c>
      <x:c r="E395" s="22" t="str">
        <x:v>persuasive examples are present; explanation of techniques is limited.</x:v>
      </x:c>
    </x:row>
    <x:row r="396" ht="62" customHeight="1">
      <x:c r="A396" s="2" t="str">
        <x:v>Participant_555077_assignsubmission_file</x:v>
      </x:c>
      <x:c r="B396" s="2" t="str">
        <x:v>C3C</x:v>
      </x:c>
      <x:c r="C396" s="23" t="n">
        <x:v>1</x:v>
      </x:c>
      <x:c r="D396" s="25" t="n">
        <x:f>'Subcriterion marks'!O19</x:f>
        <x:v>65</x:v>
      </x:c>
      <x:c r="E396" s="4" t="str">
        <x:v>fair and qualified persuasion.</x:v>
      </x:c>
    </x:row>
    <x:row r="397" ht="62" customHeight="1">
      <x:c r="A397" s="8" t="str">
        <x:v>Participant_555077_assignsubmission_file</x:v>
      </x:c>
      <x:c r="B397" s="8" t="str">
        <x:v>C3D</x:v>
      </x:c>
      <x:c r="C397" s="24" t="n">
        <x:v>1</x:v>
      </x:c>
      <x:c r="D397" s="26" t="n">
        <x:f>'Subcriterion marks'!P19</x:f>
        <x:v>70</x:v>
      </x:c>
      <x:c r="E397" s="22" t="str">
        <x:v>accessible, engaging blog voice.</x:v>
      </x:c>
    </x:row>
    <x:row r="398" ht="62" customHeight="1">
      <x:c r="A398" s="2" t="str">
        <x:v>Participant_555077_assignsubmission_file</x:v>
      </x:c>
      <x:c r="B398" s="2" t="str">
        <x:v>C3E</x:v>
      </x:c>
      <x:c r="C398" s="23" t="n">
        <x:v>1</x:v>
      </x:c>
      <x:c r="D398" s="25" t="n">
        <x:f>'Subcriterion marks'!Q19</x:f>
        <x:v>65</x:v>
      </x:c>
      <x:c r="E398" s="4" t="str">
        <x:v>relevant and generally proportionate claims.</x:v>
      </x:c>
    </x:row>
    <x:row r="399" ht="62" customHeight="1">
      <x:c r="A399" s="8" t="str">
        <x:v>Participant_555077_assignsubmission_file</x:v>
      </x:c>
      <x:c r="B399" s="8" t="str">
        <x:v>C4A</x:v>
      </x:c>
      <x:c r="C399" s="24" t="n">
        <x:v>1</x:v>
      </x:c>
      <x:c r="D399" s="26" t="n">
        <x:f>'Subcriterion marks'!R19</x:f>
        <x:v>65</x:v>
      </x:c>
      <x:c r="E399" s="22" t="str">
        <x:v>readable prose; paragraph formatting is unverified because PDF extraction flattened the text.</x:v>
      </x:c>
    </x:row>
    <x:row r="400" ht="62" customHeight="1">
      <x:c r="A400" s="2" t="str">
        <x:v>Participant_555077_assignsubmission_file</x:v>
      </x:c>
      <x:c r="B400" s="2" t="str">
        <x:v>C4B</x:v>
      </x:c>
      <x:c r="C400" s="23" t="n">
        <x:v>1</x:v>
      </x:c>
      <x:c r="D400" s="25" t="n">
        <x:f>'Subcriterion marks'!S19</x:f>
        <x:v>70</x:v>
      </x:c>
      <x:c r="E400" s="4" t="str">
        <x:v>conceptual progression is coherent.</x:v>
      </x:c>
    </x:row>
    <x:row r="401" ht="62" customHeight="1">
      <x:c r="A401" s="8" t="str">
        <x:v>Participant_555077_assignsubmission_file</x:v>
      </x:c>
      <x:c r="B401" s="8" t="str">
        <x:v>C4C</x:v>
      </x:c>
      <x:c r="C401" s="24" t="n">
        <x:v>1</x:v>
      </x:c>
      <x:c r="D401" s="26" t="n">
        <x:f>'Subcriterion marks'!T19</x:f>
        <x:v>70</x:v>
      </x:c>
      <x:c r="E401" s="22" t="str">
        <x:v>consistent introduction and conclusion.</x:v>
      </x:c>
    </x:row>
    <x:row r="402" ht="62" customHeight="1">
      <x:c r="A402" s="2" t="str">
        <x:v>Participant_555077_assignsubmission_file</x:v>
      </x:c>
      <x:c r="B402" s="2" t="str">
        <x:v>C4D</x:v>
      </x:c>
      <x:c r="C402" s="23" t="n">
        <x:v>1</x:v>
      </x:c>
      <x:c r="D402" s="25" t="n">
        <x:f>'Subcriterion marks'!U19</x:f>
        <x:v>70</x:v>
      </x:c>
      <x:c r="E402" s="4" t="str">
        <x:v>learning scenarios clarify assistance versus replacement.</x:v>
      </x:c>
    </x:row>
    <x:row r="403" ht="62" customHeight="1">
      <x:c r="A403" s="8" t="str">
        <x:v>Participant_555077_assignsubmission_file</x:v>
      </x:c>
      <x:c r="B403" s="8" t="str">
        <x:v>C4E</x:v>
      </x:c>
      <x:c r="C403" s="24" t="n">
        <x:v>1</x:v>
      </x:c>
      <x:c r="D403" s="26" t="n">
        <x:f>'Subcriterion marks'!V19</x:f>
        <x:v>70</x:v>
      </x:c>
      <x:c r="E403" s="22" t="str">
        <x:v>generally accurate expression.</x:v>
      </x:c>
    </x:row>
    <x:row r="404" ht="62" customHeight="1">
      <x:c r="A404" s="2" t="str">
        <x:v>Participant_555077_assignsubmission_file</x:v>
      </x:c>
      <x:c r="B404" s="2" t="str">
        <x:v>C4F</x:v>
      </x:c>
      <x:c r="C404" s="23" t="n">
        <x:v>1</x:v>
      </x:c>
      <x:c r="D404" s="25" t="n">
        <x:f>'Subcriterion marks'!W19</x:f>
        <x:v>65</x:v>
      </x:c>
      <x:c r="E404" s="4" t="str">
        <x:v>visible citations and references are mostly consistent; original layout remains unverified.</x:v>
      </x:c>
    </x:row>
    <x:row r="405" ht="62" customHeight="1">
      <x:c r="A405" s="8" t="str">
        <x:v>Participant_555077_assignsubmission_file</x:v>
      </x:c>
      <x:c r="B405" s="8" t="str">
        <x:v>C4G</x:v>
      </x:c>
      <x:c r="C405" s="24" t="n">
        <x:v>1</x:v>
      </x:c>
      <x:c r="D405" s="26" t="n">
        <x:f>'Subcriterion marks'!X19</x:f>
        <x:v>75</x:v>
      </x:c>
      <x:c r="E405" s="22" t="str">
        <x:v>approximately 1,635 words; textual sequence is appropriate, but original Methods paragraph/layout needs manual confirmation.</x:v>
      </x:c>
    </x:row>
    <x:row r="406" ht="62" customHeight="1">
      <x:c r="A406" s="2" t="str">
        <x:v>Participant_555077_assignsubmission_file</x:v>
      </x:c>
      <x:c r="B406" s="2" t="str">
        <x:v>C5A</x:v>
      </x:c>
      <x:c r="C406" s="23" t="n">
        <x:v>0.5</x:v>
      </x:c>
      <x:c r="D406" s="25" t="n">
        <x:f>'Subcriterion marks'!Y19</x:f>
        <x:v>50</x:v>
      </x:c>
      <x:c r="E406" s="4" t="str">
        <x:v>six references provide limited breadth.</x:v>
      </x:c>
    </x:row>
    <x:row r="407" ht="62" customHeight="1">
      <x:c r="A407" s="8" t="str">
        <x:v>Participant_555077_assignsubmission_file</x:v>
      </x:c>
      <x:c r="B407" s="8" t="str">
        <x:v>C5B</x:v>
      </x:c>
      <x:c r="C407" s="24" t="n">
        <x:v>1</x:v>
      </x:c>
      <x:c r="D407" s="26" t="n">
        <x:f>'Subcriterion marks'!Z19</x:f>
        <x:v>70</x:v>
      </x:c>
      <x:c r="E407" s="22" t="str">
        <x:v>credible scholarly and institutional material.</x:v>
      </x:c>
    </x:row>
    <x:row r="408" ht="62" customHeight="1">
      <x:c r="A408" s="2" t="str">
        <x:v>Participant_555077_assignsubmission_file</x:v>
      </x:c>
      <x:c r="B408" s="2" t="str">
        <x:v>C5C</x:v>
      </x:c>
      <x:c r="C408" s="23" t="n">
        <x:v>1</x:v>
      </x:c>
      <x:c r="D408" s="25" t="n">
        <x:f>'Subcriterion marks'!AA19</x:f>
        <x:v>65</x:v>
      </x:c>
      <x:c r="E408" s="4" t="str">
        <x:v>recent AI research with older argumentation theory.</x:v>
      </x:c>
    </x:row>
    <x:row r="409" ht="62" customHeight="1">
      <x:c r="A409" s="8" t="str">
        <x:v>Participant_555077_assignsubmission_file</x:v>
      </x:c>
      <x:c r="B409" s="8" t="str">
        <x:v>C5D</x:v>
      </x:c>
      <x:c r="C409" s="24" t="n">
        <x:v>1</x:v>
      </x:c>
      <x:c r="D409" s="26" t="n">
        <x:f>'Subcriterion marks'!AB19</x:f>
        <x:v>70</x:v>
      </x:c>
      <x:c r="E409" s="22" t="str">
        <x:v>a direct randomised educational experiment materially supports the case.</x:v>
      </x:c>
    </x:row>
    <x:row r="410" ht="62" customHeight="1">
      <x:c r="A410" s="2" t="str">
        <x:v>Participant_555077_assignsubmission_file</x:v>
      </x:c>
      <x:c r="B410" s="2" t="str">
        <x:v>C5E</x:v>
      </x:c>
      <x:c r="C410" s="23" t="n">
        <x:v>1</x:v>
      </x:c>
      <x:c r="D410" s="25" t="n">
        <x:f>'Subcriterion marks'!AC19</x:f>
        <x:v>65</x:v>
      </x:c>
      <x:c r="E410" s="4" t="str">
        <x:v>relevant reviews are used.</x:v>
      </x:c>
    </x:row>
    <x:row r="411" ht="62" customHeight="1">
      <x:c r="A411" s="8" t="str">
        <x:v>Participant_555077_assignsubmission_file</x:v>
      </x:c>
      <x:c r="B411" s="8" t="str">
        <x:v>C5F</x:v>
      </x:c>
      <x:c r="C411" s="24" t="n">
        <x:v>0.5</x:v>
      </x:c>
      <x:c r="D411" s="26" t="n">
        <x:f>'Subcriterion marks'!AD19</x:f>
        <x:v>55</x:v>
      </x:c>
      <x:c r="E411" s="22" t="str">
        <x:v>some integration but mainly sequential source support.</x:v>
      </x:c>
    </x:row>
    <x:row r="412" ht="62" customHeight="1">
      <x:c r="A412" s="2" t="str">
        <x:v>Participant_555078_assignsubmission_file</x:v>
      </x:c>
      <x:c r="B412" s="2" t="str">
        <x:v>C1A</x:v>
      </x:c>
      <x:c r="C412" s="23" t="n">
        <x:v>1</x:v>
      </x:c>
      <x:c r="D412" s="25" t="n">
        <x:f>'Subcriterion marks'!B20</x:f>
        <x:v>65</x:v>
      </x:c>
      <x:c r="E412" s="4" t="str">
        <x:v>relevant argument-analysis principles are explained with moderate depth.</x:v>
      </x:c>
    </x:row>
    <x:row r="413" ht="62" customHeight="1">
      <x:c r="A413" s="8" t="str">
        <x:v>Participant_555078_assignsubmission_file</x:v>
      </x:c>
      <x:c r="B413" s="8" t="str">
        <x:v>C1B</x:v>
      </x:c>
      <x:c r="C413" s="24" t="n">
        <x:v>0</x:v>
      </x:c>
      <x:c r="D413" s="26" t="n">
        <x:f>'Subcriterion marks'!C20</x:f>
        <x:v>0</x:v>
      </x:c>
      <x:c r="E413" s="22" t="str">
        <x:v>uses Halpern 2014 rather than the required core.</x:v>
      </x:c>
    </x:row>
    <x:row r="414" ht="62" customHeight="1">
      <x:c r="A414" s="2" t="str">
        <x:v>Participant_555078_assignsubmission_file</x:v>
      </x:c>
      <x:c r="B414" s="2" t="str">
        <x:v>C1C</x:v>
      </x:c>
      <x:c r="C414" s="23" t="n">
        <x:v>1</x:v>
      </x:c>
      <x:c r="D414" s="25" t="n">
        <x:f>'Subcriterion marks'!D20</x:f>
        <x:v>65</x:v>
      </x:c>
      <x:c r="E414" s="4" t="str">
        <x:v>clear claim, support and qualifications.</x:v>
      </x:c>
    </x:row>
    <x:row r="415" ht="62" customHeight="1">
      <x:c r="A415" s="8" t="str">
        <x:v>Participant_555078_assignsubmission_file</x:v>
      </x:c>
      <x:c r="B415" s="8" t="str">
        <x:v>C1D</x:v>
      </x:c>
      <x:c r="C415" s="24" t="n">
        <x:v>0</x:v>
      </x:c>
      <x:c r="D415" s="26" t="n">
        <x:f>'Subcriterion marks'!E20</x:f>
        <x:v>0</x:v>
      </x:c>
      <x:c r="E415" s="22" t="str">
        <x:v>principal reasoning type absent.</x:v>
      </x:c>
    </x:row>
    <x:row r="416" ht="62" customHeight="1">
      <x:c r="A416" s="2" t="str">
        <x:v>Participant_555078_assignsubmission_file</x:v>
      </x:c>
      <x:c r="B416" s="2" t="str">
        <x:v>C1E</x:v>
      </x:c>
      <x:c r="C416" s="23" t="n">
        <x:v>1</x:v>
      </x:c>
      <x:c r="D416" s="25" t="n">
        <x:f>'Subcriterion marks'!F20</x:f>
        <x:v>65</x:v>
      </x:c>
      <x:c r="E416" s="4" t="str">
        <x:v>diet quality, nutrient adequacy and labels are distinguished.</x:v>
      </x:c>
    </x:row>
    <x:row r="417" ht="62" customHeight="1">
      <x:c r="A417" s="8" t="str">
        <x:v>Participant_555078_assignsubmission_file</x:v>
      </x:c>
      <x:c r="B417" s="8" t="str">
        <x:v>C2A</x:v>
      </x:c>
      <x:c r="C417" s="24" t="n">
        <x:v>1</x:v>
      </x:c>
      <x:c r="D417" s="26" t="n">
        <x:f>'Subcriterion marks'!G20</x:f>
        <x:v>65</x:v>
      </x:c>
      <x:c r="E417" s="22" t="str">
        <x:v>consistent less-meat rather than all-or-nothing thesis.</x:v>
      </x:c>
    </x:row>
    <x:row r="418" ht="62" customHeight="1">
      <x:c r="A418" s="2" t="str">
        <x:v>Participant_555078_assignsubmission_file</x:v>
      </x:c>
      <x:c r="B418" s="2" t="str">
        <x:v>C2B</x:v>
      </x:c>
      <x:c r="C418" s="23" t="n">
        <x:v>0.5</x:v>
      </x:c>
      <x:c r="D418" s="25" t="n">
        <x:f>'Subcriterion marks'!H20</x:f>
        <x:v>55</x:v>
      </x:c>
      <x:c r="E418" s="4" t="str">
        <x:v>identifies research designs without closely comparing their evidential strength.</x:v>
      </x:c>
    </x:row>
    <x:row r="419" ht="62" customHeight="1">
      <x:c r="A419" s="8" t="str">
        <x:v>Participant_555078_assignsubmission_file</x:v>
      </x:c>
      <x:c r="B419" s="8" t="str">
        <x:v>C2C</x:v>
      </x:c>
      <x:c r="C419" s="24" t="n">
        <x:v>0.5</x:v>
      </x:c>
      <x:c r="D419" s="26" t="n">
        <x:f>'Subcriterion marks'!I20</x:f>
        <x:v>55</x:v>
      </x:c>
      <x:c r="E419" s="22" t="str">
        <x:v>sensible qualification, but limited scrutiny of causal inference or confounding.</x:v>
      </x:c>
    </x:row>
    <x:row r="420" ht="62" customHeight="1">
      <x:c r="A420" s="2" t="str">
        <x:v>Participant_555078_assignsubmission_file</x:v>
      </x:c>
      <x:c r="B420" s="2" t="str">
        <x:v>C2D</x:v>
      </x:c>
      <x:c r="C420" s="23" t="n">
        <x:v>0.5</x:v>
      </x:c>
      <x:c r="D420" s="25" t="n">
        <x:f>'Subcriterion marks'!J20</x:f>
        <x:v>55</x:v>
      </x:c>
      <x:c r="E420" s="4" t="str">
        <x:v>practical and dietary context acknowledged, with little study-specific limitation analysis.</x:v>
      </x:c>
    </x:row>
    <x:row r="421" ht="62" customHeight="1">
      <x:c r="A421" s="8" t="str">
        <x:v>Participant_555078_assignsubmission_file</x:v>
      </x:c>
      <x:c r="B421" s="8" t="str">
        <x:v>C2E</x:v>
      </x:c>
      <x:c r="C421" s="24" t="n">
        <x:v>1</x:v>
      </x:c>
      <x:c r="D421" s="26" t="n">
        <x:f>'Subcriterion marks'!K20</x:f>
        <x:v>65</x:v>
      </x:c>
      <x:c r="E421" s="22" t="str">
        <x:v>nutrition objections receive relevant responses.</x:v>
      </x:c>
    </x:row>
    <x:row r="422" ht="62" customHeight="1">
      <x:c r="A422" s="2" t="str">
        <x:v>Participant_555078_assignsubmission_file</x:v>
      </x:c>
      <x:c r="B422" s="2" t="str">
        <x:v>C2F</x:v>
      </x:c>
      <x:c r="C422" s="23" t="n">
        <x:v>1</x:v>
      </x:c>
      <x:c r="D422" s="25" t="n">
        <x:f>'Subcriterion marks'!L20</x:f>
        <x:v>65</x:v>
      </x:c>
      <x:c r="E422" s="4" t="str">
        <x:v>false binary is identified and actively avoided.</x:v>
      </x:c>
    </x:row>
    <x:row r="423" ht="62" customHeight="1">
      <x:c r="A423" s="8" t="str">
        <x:v>Participant_555078_assignsubmission_file</x:v>
      </x:c>
      <x:c r="B423" s="8" t="str">
        <x:v>C3A</x:v>
      </x:c>
      <x:c r="C423" s="24" t="n">
        <x:v>1</x:v>
      </x:c>
      <x:c r="D423" s="26" t="n">
        <x:f>'Subcriterion marks'!M20</x:f>
        <x:v>65</x:v>
      </x:c>
      <x:c r="E423" s="22" t="str">
        <x:v>claim and qualifications show an applied argument structure.</x:v>
      </x:c>
    </x:row>
    <x:row r="424" ht="62" customHeight="1">
      <x:c r="A424" s="2" t="str">
        <x:v>Participant_555078_assignsubmission_file</x:v>
      </x:c>
      <x:c r="B424" s="2" t="str">
        <x:v>C3B</x:v>
      </x:c>
      <x:c r="C424" s="23" t="n">
        <x:v>0.5</x:v>
      </x:c>
      <x:c r="D424" s="25" t="n">
        <x:f>'Subcriterion marks'!N20</x:f>
        <x:v>50</x:v>
      </x:c>
      <x:c r="E424" s="4" t="str">
        <x:v>accessible examples persuade, but techniques are not developed in Methods.</x:v>
      </x:c>
    </x:row>
    <x:row r="425" ht="62" customHeight="1">
      <x:c r="A425" s="8" t="str">
        <x:v>Participant_555078_assignsubmission_file</x:v>
      </x:c>
      <x:c r="B425" s="8" t="str">
        <x:v>C3C</x:v>
      </x:c>
      <x:c r="C425" s="24" t="n">
        <x:v>1</x:v>
      </x:c>
      <x:c r="D425" s="26" t="n">
        <x:f>'Subcriterion marks'!O20</x:f>
        <x:v>65</x:v>
      </x:c>
      <x:c r="E425" s="22" t="str">
        <x:v>fair, qualified case.</x:v>
      </x:c>
    </x:row>
    <x:row r="426" ht="62" customHeight="1">
      <x:c r="A426" s="2" t="str">
        <x:v>Participant_555078_assignsubmission_file</x:v>
      </x:c>
      <x:c r="B426" s="2" t="str">
        <x:v>C3D</x:v>
      </x:c>
      <x:c r="C426" s="23" t="n">
        <x:v>0.5</x:v>
      </x:c>
      <x:c r="D426" s="25" t="n">
        <x:f>'Subcriterion marks'!P20</x:f>
        <x:v>55</x:v>
      </x:c>
      <x:c r="E426" s="4" t="str">
        <x:v>long passages and repetition reduce blog accessibility.</x:v>
      </x:c>
    </x:row>
    <x:row r="427" ht="62" customHeight="1">
      <x:c r="A427" s="8" t="str">
        <x:v>Participant_555078_assignsubmission_file</x:v>
      </x:c>
      <x:c r="B427" s="8" t="str">
        <x:v>C3E</x:v>
      </x:c>
      <x:c r="C427" s="24" t="n">
        <x:v>1</x:v>
      </x:c>
      <x:c r="D427" s="26" t="n">
        <x:f>'Subcriterion marks'!Q20</x:f>
        <x:v>65</x:v>
      </x:c>
      <x:c r="E427" s="22" t="str">
        <x:v>clear and relevant overall.</x:v>
      </x:c>
    </x:row>
    <x:row r="428" ht="62" customHeight="1">
      <x:c r="A428" s="2" t="str">
        <x:v>Participant_555078_assignsubmission_file</x:v>
      </x:c>
      <x:c r="B428" s="2" t="str">
        <x:v>C4A</x:v>
      </x:c>
      <x:c r="C428" s="23" t="n">
        <x:v>0.5</x:v>
      </x:c>
      <x:c r="D428" s="25" t="n">
        <x:f>'Subcriterion marks'!R20</x:f>
        <x:v>55</x:v>
      </x:c>
      <x:c r="E428" s="4" t="str">
        <x:v>long, repetitive passages reduce concision.</x:v>
      </x:c>
    </x:row>
    <x:row r="429" ht="62" customHeight="1">
      <x:c r="A429" s="8" t="str">
        <x:v>Participant_555078_assignsubmission_file</x:v>
      </x:c>
      <x:c r="B429" s="8" t="str">
        <x:v>C4B</x:v>
      </x:c>
      <x:c r="C429" s="24" t="n">
        <x:v>1</x:v>
      </x:c>
      <x:c r="D429" s="26" t="n">
        <x:f>'Subcriterion marks'!S20</x:f>
        <x:v>65</x:v>
      </x:c>
      <x:c r="E429" s="22" t="str">
        <x:v>coherent broad progression.</x:v>
      </x:c>
    </x:row>
    <x:row r="430" ht="62" customHeight="1">
      <x:c r="A430" s="2" t="str">
        <x:v>Participant_555078_assignsubmission_file</x:v>
      </x:c>
      <x:c r="B430" s="2" t="str">
        <x:v>C4C</x:v>
      </x:c>
      <x:c r="C430" s="23" t="n">
        <x:v>1</x:v>
      </x:c>
      <x:c r="D430" s="25" t="n">
        <x:f>'Subcriterion marks'!T20</x:f>
        <x:v>65</x:v>
      </x:c>
      <x:c r="E430" s="4" t="str">
        <x:v>introduction and conclusion align.</x:v>
      </x:c>
    </x:row>
    <x:row r="431" ht="62" customHeight="1">
      <x:c r="A431" s="8" t="str">
        <x:v>Participant_555078_assignsubmission_file</x:v>
      </x:c>
      <x:c r="B431" s="8" t="str">
        <x:v>C4D</x:v>
      </x:c>
      <x:c r="C431" s="24" t="n">
        <x:v>1</x:v>
      </x:c>
      <x:c r="D431" s="26" t="n">
        <x:f>'Subcriterion marks'!U20</x:f>
        <x:v>65</x:v>
      </x:c>
      <x:c r="E431" s="22" t="str">
        <x:v>food substitutions clarify the position.</x:v>
      </x:c>
    </x:row>
    <x:row r="432" ht="62" customHeight="1">
      <x:c r="A432" s="2" t="str">
        <x:v>Participant_555078_assignsubmission_file</x:v>
      </x:c>
      <x:c r="B432" s="2" t="str">
        <x:v>C4E</x:v>
      </x:c>
      <x:c r="C432" s="23" t="n">
        <x:v>0.5</x:v>
      </x:c>
      <x:c r="D432" s="25" t="n">
        <x:f>'Subcriterion marks'!V20</x:f>
        <x:v>50</x:v>
      </x:c>
      <x:c r="E432" s="4" t="str">
        <x:v>repeated US spellings and expression issues reduce British-English consistency.</x:v>
      </x:c>
    </x:row>
    <x:row r="433" ht="62" customHeight="1">
      <x:c r="A433" s="8" t="str">
        <x:v>Participant_555078_assignsubmission_file</x:v>
      </x:c>
      <x:c r="B433" s="8" t="str">
        <x:v>C4F</x:v>
      </x:c>
      <x:c r="C433" s="24" t="n">
        <x:v>0.5</x:v>
      </x:c>
      <x:c r="D433" s="26" t="n">
        <x:f>'Subcriterion marks'!W20</x:f>
        <x:v>50</x:v>
      </x:c>
      <x:c r="E433" s="22" t="str">
        <x:v>incomplete institutional reference details and an unreferenced Toulmin attribution.</x:v>
      </x:c>
    </x:row>
    <x:row r="434" ht="62" customHeight="1">
      <x:c r="A434" s="2" t="str">
        <x:v>Participant_555078_assignsubmission_file</x:v>
      </x:c>
      <x:c r="B434" s="2" t="str">
        <x:v>C4G</x:v>
      </x:c>
      <x:c r="C434" s="23" t="n">
        <x:v>0.5</x:v>
      </x:c>
      <x:c r="D434" s="25" t="n">
        <x:f>'Subcriterion marks'!X20</x:f>
        <x:v>55</x:v>
      </x:c>
      <x:c r="E434" s="4" t="str">
        <x:v>approximately 1,270 words; below the required minimum, with otherwise broadly appropriate sequence.</x:v>
      </x:c>
    </x:row>
    <x:row r="435" ht="62" customHeight="1">
      <x:c r="A435" s="8" t="str">
        <x:v>Participant_555078_assignsubmission_file</x:v>
      </x:c>
      <x:c r="B435" s="8" t="str">
        <x:v>C5A</x:v>
      </x:c>
      <x:c r="C435" s="24" t="n">
        <x:v>0.5</x:v>
      </x:c>
      <x:c r="D435" s="26" t="n">
        <x:f>'Subcriterion marks'!Y20</x:f>
        <x:v>50</x:v>
      </x:c>
      <x:c r="E435" s="22" t="str">
        <x:v>six references, below the required range.</x:v>
      </x:c>
    </x:row>
    <x:row r="436" ht="62" customHeight="1">
      <x:c r="A436" s="2" t="str">
        <x:v>Participant_555078_assignsubmission_file</x:v>
      </x:c>
      <x:c r="B436" s="2" t="str">
        <x:v>C5B</x:v>
      </x:c>
      <x:c r="C436" s="23" t="n">
        <x:v>1</x:v>
      </x:c>
      <x:c r="D436" s="25" t="n">
        <x:f>'Subcriterion marks'!Z20</x:f>
        <x:v>70</x:v>
      </x:c>
      <x:c r="E436" s="4" t="str">
        <x:v>credible scholarly and authoritative nutrition sources.</x:v>
      </x:c>
    </x:row>
    <x:row r="437" ht="62" customHeight="1">
      <x:c r="A437" s="8" t="str">
        <x:v>Participant_555078_assignsubmission_file</x:v>
      </x:c>
      <x:c r="B437" s="8" t="str">
        <x:v>C5C</x:v>
      </x:c>
      <x:c r="C437" s="24" t="n">
        <x:v>1</x:v>
      </x:c>
      <x:c r="D437" s="26" t="n">
        <x:f>'Subcriterion marks'!AA20</x:f>
        <x:v>65</x:v>
      </x:c>
      <x:c r="E437" s="22" t="str">
        <x:v>current evidence plus foundational theory.</x:v>
      </x:c>
    </x:row>
    <x:row r="438" ht="62" customHeight="1">
      <x:c r="A438" s="2" t="str">
        <x:v>Participant_555078_assignsubmission_file</x:v>
      </x:c>
      <x:c r="B438" s="2" t="str">
        <x:v>C5D</x:v>
      </x:c>
      <x:c r="C438" s="23" t="n">
        <x:v>1</x:v>
      </x:c>
      <x:c r="D438" s="25" t="n">
        <x:f>'Subcriterion marks'!AB20</x:f>
        <x:v>65</x:v>
      </x:c>
      <x:c r="E438" s="4" t="str">
        <x:v>direct environmental research complements dietary syntheses.</x:v>
      </x:c>
    </x:row>
    <x:row r="439" ht="62" customHeight="1">
      <x:c r="A439" s="8" t="str">
        <x:v>Participant_555078_assignsubmission_file</x:v>
      </x:c>
      <x:c r="B439" s="8" t="str">
        <x:v>C5E</x:v>
      </x:c>
      <x:c r="C439" s="24" t="n">
        <x:v>1</x:v>
      </x:c>
      <x:c r="D439" s="26" t="n">
        <x:f>'Subcriterion marks'!AC20</x:f>
        <x:v>65</x:v>
      </x:c>
      <x:c r="E439" s="22" t="str">
        <x:v>cohort and trial meta-analyses are used.</x:v>
      </x:c>
    </x:row>
    <x:row r="440" ht="62" customHeight="1">
      <x:c r="A440" s="2" t="str">
        <x:v>Participant_555078_assignsubmission_file</x:v>
      </x:c>
      <x:c r="B440" s="2" t="str">
        <x:v>C5F</x:v>
      </x:c>
      <x:c r="C440" s="23" t="n">
        <x:v>0.5</x:v>
      </x:c>
      <x:c r="D440" s="25" t="n">
        <x:f>'Subcriterion marks'!AD20</x:f>
        <x:v>55</x:v>
      </x:c>
      <x:c r="E440" s="4" t="str">
        <x:v>some combined interpretation, but limited critical comparison.</x:v>
      </x:c>
    </x:row>
    <x:row r="441" ht="62" customHeight="1">
      <x:c r="A441" s="8" t="str">
        <x:v>Participant_555079_assignsubmission_file</x:v>
      </x:c>
      <x:c r="B441" s="8" t="str">
        <x:v>C1A</x:v>
      </x:c>
      <x:c r="C441" s="24" t="n">
        <x:v>1</x:v>
      </x:c>
      <x:c r="D441" s="26" t="n">
        <x:f>'Subcriterion marks'!B21</x:f>
        <x:v>70</x:v>
      </x:c>
      <x:c r="E441" s="22" t="str">
        <x:v>purposeful critical analysis of inference and assumptions.</x:v>
      </x:c>
    </x:row>
    <x:row r="442" ht="62" customHeight="1">
      <x:c r="A442" s="2" t="str">
        <x:v>Participant_555079_assignsubmission_file</x:v>
      </x:c>
      <x:c r="B442" s="2" t="str">
        <x:v>C1B</x:v>
      </x:c>
      <x:c r="C442" s="23" t="n">
        <x:v>0</x:v>
      </x:c>
      <x:c r="D442" s="25" t="n">
        <x:f>'Subcriterion marks'!C21</x:f>
        <x:v>0</x:v>
      </x:c>
      <x:c r="E442" s="4" t="str">
        <x:v>uses Halpern 2014 instead of the designated core.</x:v>
      </x:c>
    </x:row>
    <x:row r="443" ht="62" customHeight="1">
      <x:c r="A443" s="8" t="str">
        <x:v>Participant_555079_assignsubmission_file</x:v>
      </x:c>
      <x:c r="B443" s="8" t="str">
        <x:v>C1C</x:v>
      </x:c>
      <x:c r="C443" s="24" t="n">
        <x:v>1</x:v>
      </x:c>
      <x:c r="D443" s="26" t="n">
        <x:f>'Subcriterion marks'!D21</x:f>
        <x:v>70</x:v>
      </x:c>
      <x:c r="E443" s="22" t="str">
        <x:v>claim, grounds and qualifications are connected.</x:v>
      </x:c>
    </x:row>
    <x:row r="444" ht="62" customHeight="1">
      <x:c r="A444" s="2" t="str">
        <x:v>Participant_555079_assignsubmission_file</x:v>
      </x:c>
      <x:c r="B444" s="2" t="str">
        <x:v>C1D</x:v>
      </x:c>
      <x:c r="C444" s="23" t="n">
        <x:v>0</x:v>
      </x:c>
      <x:c r="D444" s="25" t="n">
        <x:f>'Subcriterion marks'!E21</x:f>
        <x:v>0</x:v>
      </x:c>
      <x:c r="E444" s="4" t="str">
        <x:v>principal inference type absent.</x:v>
      </x:c>
    </x:row>
    <x:row r="445" ht="62" customHeight="1">
      <x:c r="A445" s="8" t="str">
        <x:v>Participant_555079_assignsubmission_file</x:v>
      </x:c>
      <x:c r="B445" s="8" t="str">
        <x:v>C1E</x:v>
      </x:c>
      <x:c r="C445" s="24" t="n">
        <x:v>1</x:v>
      </x:c>
      <x:c r="D445" s="26" t="n">
        <x:f>'Subcriterion marks'!F21</x:f>
        <x:v>65</x:v>
      </x:c>
      <x:c r="E445" s="22" t="str">
        <x:v>blended and purely online learning are distinguished.</x:v>
      </x:c>
    </x:row>
    <x:row r="446" ht="62" customHeight="1">
      <x:c r="A446" s="2" t="str">
        <x:v>Participant_555079_assignsubmission_file</x:v>
      </x:c>
      <x:c r="B446" s="2" t="str">
        <x:v>C2A</x:v>
      </x:c>
      <x:c r="C446" s="23" t="n">
        <x:v>1</x:v>
      </x:c>
      <x:c r="D446" s="25" t="n">
        <x:f>'Subcriterion marks'!G21</x:f>
        <x:v>70</x:v>
      </x:c>
      <x:c r="E446" s="4" t="str">
        <x:v>coherent design-dependent conclusion.</x:v>
      </x:c>
    </x:row>
    <x:row r="447" ht="62" customHeight="1">
      <x:c r="A447" s="8" t="str">
        <x:v>Participant_555079_assignsubmission_file</x:v>
      </x:c>
      <x:c r="B447" s="8" t="str">
        <x:v>C2B</x:v>
      </x:c>
      <x:c r="C447" s="24" t="n">
        <x:v>1</x:v>
      </x:c>
      <x:c r="D447" s="26" t="n">
        <x:f>'Subcriterion marks'!H21</x:f>
        <x:v>70</x:v>
      </x:c>
      <x:c r="E447" s="22" t="str">
        <x:v>compares differing syntheses and examines resource/time confounds.</x:v>
      </x:c>
    </x:row>
    <x:row r="448" ht="62" customHeight="1">
      <x:c r="A448" s="2" t="str">
        <x:v>Participant_555079_assignsubmission_file</x:v>
      </x:c>
      <x:c r="B448" s="2" t="str">
        <x:v>C2C</x:v>
      </x:c>
      <x:c r="C448" s="23" t="n">
        <x:v>1</x:v>
      </x:c>
      <x:c r="D448" s="25" t="n">
        <x:f>'Subcriterion marks'!I21</x:f>
        <x:v>75</x:v>
      </x:c>
      <x:c r="E448" s="4" t="str">
        <x:v>explicitly questions whether online delivery or additional learning opportunities explain gains.</x:v>
      </x:c>
    </x:row>
    <x:row r="449" ht="62" customHeight="1">
      <x:c r="A449" s="8" t="str">
        <x:v>Participant_555079_assignsubmission_file</x:v>
      </x:c>
      <x:c r="B449" s="8" t="str">
        <x:v>C2D</x:v>
      </x:c>
      <x:c r="C449" s="24" t="n">
        <x:v>1</x:v>
      </x:c>
      <x:c r="D449" s="26" t="n">
        <x:f>'Subcriterion marks'!J21</x:f>
        <x:v>70</x:v>
      </x:c>
      <x:c r="E449" s="22" t="str">
        <x:v>heterogeneity and implementation limit broad generalisation.</x:v>
      </x:c>
    </x:row>
    <x:row r="450" ht="62" customHeight="1">
      <x:c r="A450" s="2" t="str">
        <x:v>Participant_555079_assignsubmission_file</x:v>
      </x:c>
      <x:c r="B450" s="2" t="str">
        <x:v>C2E</x:v>
      </x:c>
      <x:c r="C450" s="23" t="n">
        <x:v>1</x:v>
      </x:c>
      <x:c r="D450" s="25" t="n">
        <x:f>'Subcriterion marks'!K21</x:f>
        <x:v>65</x:v>
      </x:c>
      <x:c r="E450" s="4" t="str">
        <x:v>contrasting findings and classroom benefits are considered fairly.</x:v>
      </x:c>
    </x:row>
    <x:row r="451" ht="62" customHeight="1">
      <x:c r="A451" s="8" t="str">
        <x:v>Participant_555079_assignsubmission_file</x:v>
      </x:c>
      <x:c r="B451" s="8" t="str">
        <x:v>C2F</x:v>
      </x:c>
      <x:c r="C451" s="24" t="n">
        <x:v>1</x:v>
      </x:c>
      <x:c r="D451" s="26" t="n">
        <x:f>'Subcriterion marks'!L21</x:f>
        <x:v>70</x:v>
      </x:c>
      <x:c r="E451" s="22" t="str">
        <x:v>rejects a false binary and preferred-format assumptions.</x:v>
      </x:c>
    </x:row>
    <x:row r="452" ht="62" customHeight="1">
      <x:c r="A452" s="2" t="str">
        <x:v>Participant_555079_assignsubmission_file</x:v>
      </x:c>
      <x:c r="B452" s="2" t="str">
        <x:v>C3A</x:v>
      </x:c>
      <x:c r="C452" s="23" t="n">
        <x:v>1</x:v>
      </x:c>
      <x:c r="D452" s="25" t="n">
        <x:f>'Subcriterion marks'!M21</x:f>
        <x:v>70</x:v>
      </x:c>
      <x:c r="E452" s="4" t="str">
        <x:v>qualified argument framework is visible.</x:v>
      </x:c>
    </x:row>
    <x:row r="453" ht="62" customHeight="1">
      <x:c r="A453" s="8" t="str">
        <x:v>Participant_555079_assignsubmission_file</x:v>
      </x:c>
      <x:c r="B453" s="8" t="str">
        <x:v>C3B</x:v>
      </x:c>
      <x:c r="C453" s="24" t="n">
        <x:v>0.5</x:v>
      </x:c>
      <x:c r="D453" s="26" t="n">
        <x:f>'Subcriterion marks'!N21</x:f>
        <x:v>55</x:v>
      </x:c>
      <x:c r="E453" s="22" t="str">
        <x:v>accessible counterarguments persuade, but technique explanation is limited.</x:v>
      </x:c>
    </x:row>
    <x:row r="454" ht="62" customHeight="1">
      <x:c r="A454" s="2" t="str">
        <x:v>Participant_555079_assignsubmission_file</x:v>
      </x:c>
      <x:c r="B454" s="2" t="str">
        <x:v>C3C</x:v>
      </x:c>
      <x:c r="C454" s="23" t="n">
        <x:v>1</x:v>
      </x:c>
      <x:c r="D454" s="25" t="n">
        <x:f>'Subcriterion marks'!O21</x:f>
        <x:v>70</x:v>
      </x:c>
      <x:c r="E454" s="4" t="str">
        <x:v>fair, evidence-based and appropriately qualified.</x:v>
      </x:c>
    </x:row>
    <x:row r="455" ht="62" customHeight="1">
      <x:c r="A455" s="8" t="str">
        <x:v>Participant_555079_assignsubmission_file</x:v>
      </x:c>
      <x:c r="B455" s="8" t="str">
        <x:v>C3D</x:v>
      </x:c>
      <x:c r="C455" s="24" t="n">
        <x:v>1</x:v>
      </x:c>
      <x:c r="D455" s="26" t="n">
        <x:f>'Subcriterion marks'!P21</x:f>
        <x:v>70</x:v>
      </x:c>
      <x:c r="E455" s="22" t="str">
        <x:v>clear public-facing title and accessible voice.</x:v>
      </x:c>
    </x:row>
    <x:row r="456" ht="62" customHeight="1">
      <x:c r="A456" s="2" t="str">
        <x:v>Participant_555079_assignsubmission_file</x:v>
      </x:c>
      <x:c r="B456" s="2" t="str">
        <x:v>C3E</x:v>
      </x:c>
      <x:c r="C456" s="23" t="n">
        <x:v>1</x:v>
      </x:c>
      <x:c r="D456" s="25" t="n">
        <x:f>'Subcriterion marks'!Q21</x:f>
        <x:v>70</x:v>
      </x:c>
      <x:c r="E456" s="4" t="str">
        <x:v>relevant and proportionate communication.</x:v>
      </x:c>
    </x:row>
    <x:row r="457" ht="62" customHeight="1">
      <x:c r="A457" s="8" t="str">
        <x:v>Participant_555079_assignsubmission_file</x:v>
      </x:c>
      <x:c r="B457" s="8" t="str">
        <x:v>C4A</x:v>
      </x:c>
      <x:c r="C457" s="24" t="n">
        <x:v>1</x:v>
      </x:c>
      <x:c r="D457" s="26" t="n">
        <x:f>'Subcriterion marks'!R21</x:f>
        <x:v>65</x:v>
      </x:c>
      <x:c r="E457" s="22" t="str">
        <x:v>clear but compressed in places.</x:v>
      </x:c>
    </x:row>
    <x:row r="458" ht="62" customHeight="1">
      <x:c r="A458" s="2" t="str">
        <x:v>Participant_555079_assignsubmission_file</x:v>
      </x:c>
      <x:c r="B458" s="2" t="str">
        <x:v>C4B</x:v>
      </x:c>
      <x:c r="C458" s="23" t="n">
        <x:v>1</x:v>
      </x:c>
      <x:c r="D458" s="25" t="n">
        <x:f>'Subcriterion marks'!S21</x:f>
        <x:v>70</x:v>
      </x:c>
      <x:c r="E458" s="4" t="str">
        <x:v>coherent evidence-to-judgement progression.</x:v>
      </x:c>
    </x:row>
    <x:row r="459" ht="62" customHeight="1">
      <x:c r="A459" s="8" t="str">
        <x:v>Participant_555079_assignsubmission_file</x:v>
      </x:c>
      <x:c r="B459" s="8" t="str">
        <x:v>C4C</x:v>
      </x:c>
      <x:c r="C459" s="24" t="n">
        <x:v>1</x:v>
      </x:c>
      <x:c r="D459" s="26" t="n">
        <x:f>'Subcriterion marks'!T21</x:f>
        <x:v>70</x:v>
      </x:c>
      <x:c r="E459" s="22" t="str">
        <x:v>consistent conditional opening and conclusion.</x:v>
      </x:c>
    </x:row>
    <x:row r="460" ht="62" customHeight="1">
      <x:c r="A460" s="2" t="str">
        <x:v>Participant_555079_assignsubmission_file</x:v>
      </x:c>
      <x:c r="B460" s="2" t="str">
        <x:v>C4D</x:v>
      </x:c>
      <x:c r="C460" s="23" t="n">
        <x:v>1</x:v>
      </x:c>
      <x:c r="D460" s="25" t="n">
        <x:f>'Subcriterion marks'!U21</x:f>
        <x:v>70</x:v>
      </x:c>
      <x:c r="E460" s="4" t="str">
        <x:v>interaction and course-design examples clarify the reasoning.</x:v>
      </x:c>
    </x:row>
    <x:row r="461" ht="62" customHeight="1">
      <x:c r="A461" s="8" t="str">
        <x:v>Participant_555079_assignsubmission_file</x:v>
      </x:c>
      <x:c r="B461" s="8" t="str">
        <x:v>C4E</x:v>
      </x:c>
      <x:c r="C461" s="24" t="n">
        <x:v>1</x:v>
      </x:c>
      <x:c r="D461" s="26" t="n">
        <x:f>'Subcriterion marks'!V21</x:f>
        <x:v>70</x:v>
      </x:c>
      <x:c r="E461" s="22" t="str">
        <x:v>generally accurate British English.</x:v>
      </x:c>
    </x:row>
    <x:row r="462" ht="62" customHeight="1">
      <x:c r="A462" s="2" t="str">
        <x:v>Participant_555079_assignsubmission_file</x:v>
      </x:c>
      <x:c r="B462" s="2" t="str">
        <x:v>C4F</x:v>
      </x:c>
      <x:c r="C462" s="23" t="n">
        <x:v>0.5</x:v>
      </x:c>
      <x:c r="D462" s="25" t="n">
        <x:f>'Subcriterion marks'!W21</x:f>
        <x:v>50</x:v>
      </x:c>
      <x:c r="E462" s="4" t="str">
        <x:v>ordering and title-capitalisation inconsistencies; no penalty solely for older APA conventions.</x:v>
      </x:c>
    </x:row>
    <x:row r="463" ht="62" customHeight="1">
      <x:c r="A463" s="8" t="str">
        <x:v>Participant_555079_assignsubmission_file</x:v>
      </x:c>
      <x:c r="B463" s="8" t="str">
        <x:v>C4G</x:v>
      </x:c>
      <x:c r="C463" s="24" t="n">
        <x:v>0</x:v>
      </x:c>
      <x:c r="D463" s="26" t="n">
        <x:f>'Subcriterion marks'!X21</x:f>
        <x:v>35</x:v>
      </x:c>
      <x:c r="E463" s="22" t="str">
        <x:v>approximately 1,166 blog words and two Methods paragraphs; substantial scope and format shortfall.</x:v>
      </x:c>
    </x:row>
    <x:row r="464" ht="62" customHeight="1">
      <x:c r="A464" s="2" t="str">
        <x:v>Participant_555079_assignsubmission_file</x:v>
      </x:c>
      <x:c r="B464" s="2" t="str">
        <x:v>C5A</x:v>
      </x:c>
      <x:c r="C464" s="23" t="n">
        <x:v>0.5</x:v>
      </x:c>
      <x:c r="D464" s="25" t="n">
        <x:f>'Subcriterion marks'!Y21</x:f>
        <x:v>55</x:v>
      </x:c>
      <x:c r="E464" s="4" t="str">
        <x:v>seven relevant sources.</x:v>
      </x:c>
    </x:row>
    <x:row r="465" ht="62" customHeight="1">
      <x:c r="A465" s="8" t="str">
        <x:v>Participant_555079_assignsubmission_file</x:v>
      </x:c>
      <x:c r="B465" s="8" t="str">
        <x:v>C5B</x:v>
      </x:c>
      <x:c r="C465" s="24" t="n">
        <x:v>1</x:v>
      </x:c>
      <x:c r="D465" s="26" t="n">
        <x:f>'Subcriterion marks'!Z21</x:f>
        <x:v>75</x:v>
      </x:c>
      <x:c r="E465" s="22" t="str">
        <x:v>strong scholarly evidence base.</x:v>
      </x:c>
    </x:row>
    <x:row r="466" ht="62" customHeight="1">
      <x:c r="A466" s="2" t="str">
        <x:v>Participant_555079_assignsubmission_file</x:v>
      </x:c>
      <x:c r="B466" s="2" t="str">
        <x:v>C5C</x:v>
      </x:c>
      <x:c r="C466" s="23" t="n">
        <x:v>1</x:v>
      </x:c>
      <x:c r="D466" s="25" t="n">
        <x:f>'Subcriterion marks'!AA21</x:f>
        <x:v>70</x:v>
      </x:c>
      <x:c r="E466" s="4" t="str">
        <x:v>recent studies plus foundational work.</x:v>
      </x:c>
    </x:row>
    <x:row r="467" ht="62" customHeight="1">
      <x:c r="A467" s="8" t="str">
        <x:v>Participant_555079_assignsubmission_file</x:v>
      </x:c>
      <x:c r="B467" s="8" t="str">
        <x:v>C5D</x:v>
      </x:c>
      <x:c r="C467" s="24" t="n">
        <x:v>1</x:v>
      </x:c>
      <x:c r="D467" s="26" t="n">
        <x:f>'Subcriterion marks'!AB21</x:f>
        <x:v>65</x:v>
      </x:c>
      <x:c r="E467" s="22" t="str">
        <x:v>direct engagement research complements syntheses.</x:v>
      </x:c>
    </x:row>
    <x:row r="468" ht="62" customHeight="1">
      <x:c r="A468" s="2" t="str">
        <x:v>Participant_555079_assignsubmission_file</x:v>
      </x:c>
      <x:c r="B468" s="2" t="str">
        <x:v>C5E</x:v>
      </x:c>
      <x:c r="C468" s="23" t="n">
        <x:v>1</x:v>
      </x:c>
      <x:c r="D468" s="25" t="n">
        <x:f>'Subcriterion marks'!AC21</x:f>
        <x:v>75</x:v>
      </x:c>
      <x:c r="E468" s="4" t="str">
        <x:v>multiple relevant meta-analyses materially inform the argument.</x:v>
      </x:c>
    </x:row>
    <x:row r="469" ht="62" customHeight="1">
      <x:c r="A469" s="8" t="str">
        <x:v>Participant_555079_assignsubmission_file</x:v>
      </x:c>
      <x:c r="B469" s="8" t="str">
        <x:v>C5F</x:v>
      </x:c>
      <x:c r="C469" s="24" t="n">
        <x:v>1</x:v>
      </x:c>
      <x:c r="D469" s="26" t="n">
        <x:f>'Subcriterion marks'!AD21</x:f>
        <x:v>75</x:v>
      </x:c>
      <x:c r="E469" s="22" t="str">
        <x:v>contrasting findings are critically integrated through alternative explanations.</x:v>
      </x:c>
    </x:row>
    <x:row r="470" ht="62" customHeight="1">
      <x:c r="A470" s="2" t="str">
        <x:v>Participant_564388_assignsubmission_file</x:v>
      </x:c>
      <x:c r="B470" s="2" t="str">
        <x:v>C1A</x:v>
      </x:c>
      <x:c r="C470" s="23" t="n">
        <x:v>0.5</x:v>
      </x:c>
      <x:c r="D470" s="25" t="n">
        <x:f>'Subcriterion marks'!B22</x:f>
        <x:v>50</x:v>
      </x:c>
      <x:c r="E470" s="4" t="str">
        <x:v>broadly accurate but generic account of critical-thinking methods.</x:v>
      </x:c>
    </x:row>
    <x:row r="471" ht="62" customHeight="1">
      <x:c r="A471" s="8" t="str">
        <x:v>Participant_564388_assignsubmission_file</x:v>
      </x:c>
      <x:c r="B471" s="8" t="str">
        <x:v>C1B</x:v>
      </x:c>
      <x:c r="C471" s="24" t="n">
        <x:v>1</x:v>
      </x:c>
      <x:c r="D471" s="26" t="n">
        <x:f>'Subcriterion marks'!C22</x:f>
        <x:v>65</x:v>
      </x:c>
      <x:c r="E471" s="22" t="str">
        <x:v>core text is substantively used for argument analysis and critical-thinking definitions.</x:v>
      </x:c>
    </x:row>
    <x:row r="472" ht="62" customHeight="1">
      <x:c r="A472" s="2" t="str">
        <x:v>Participant_564388_assignsubmission_file</x:v>
      </x:c>
      <x:c r="B472" s="2" t="str">
        <x:v>C1C</x:v>
      </x:c>
      <x:c r="C472" s="23" t="n">
        <x:v>0.5</x:v>
      </x:c>
      <x:c r="D472" s="25" t="n">
        <x:f>'Subcriterion marks'!D22</x:f>
        <x:v>55</x:v>
      </x:c>
      <x:c r="E472" s="4" t="str">
        <x:v>clear claim and reasons, but assumptions and warrants are underdeveloped.</x:v>
      </x:c>
    </x:row>
    <x:row r="473" ht="62" customHeight="1">
      <x:c r="A473" s="8" t="str">
        <x:v>Participant_564388_assignsubmission_file</x:v>
      </x:c>
      <x:c r="B473" s="8" t="str">
        <x:v>C1D</x:v>
      </x:c>
      <x:c r="C473" s="24" t="n">
        <x:v>0</x:v>
      </x:c>
      <x:c r="D473" s="26" t="n">
        <x:f>'Subcriterion marks'!E22</x:f>
        <x:v>0</x:v>
      </x:c>
      <x:c r="E473" s="22" t="str">
        <x:v>principal reasoning type absent.</x:v>
      </x:c>
    </x:row>
    <x:row r="474" ht="62" customHeight="1">
      <x:c r="A474" s="2" t="str">
        <x:v>Participant_564388_assignsubmission_file</x:v>
      </x:c>
      <x:c r="B474" s="2" t="str">
        <x:v>C1E</x:v>
      </x:c>
      <x:c r="C474" s="23" t="n">
        <x:v>1</x:v>
      </x:c>
      <x:c r="D474" s="25" t="n">
        <x:f>'Subcriterion marks'!F22</x:f>
        <x:v>65</x:v>
      </x:c>
      <x:c r="E474" s="4" t="str">
        <x:v>assistance versus independent thinking is explained.</x:v>
      </x:c>
    </x:row>
    <x:row r="475" ht="62" customHeight="1">
      <x:c r="A475" s="8" t="str">
        <x:v>Participant_564388_assignsubmission_file</x:v>
      </x:c>
      <x:c r="B475" s="8" t="str">
        <x:v>C2A</x:v>
      </x:c>
      <x:c r="C475" s="24" t="n">
        <x:v>1</x:v>
      </x:c>
      <x:c r="D475" s="26" t="n">
        <x:f>'Subcriterion marks'!G22</x:f>
        <x:v>65</x:v>
      </x:c>
      <x:c r="E475" s="22" t="str">
        <x:v>coherent conditional AI-use thesis.</x:v>
      </x:c>
    </x:row>
    <x:row r="476" ht="62" customHeight="1">
      <x:c r="A476" s="2" t="str">
        <x:v>Participant_564388_assignsubmission_file</x:v>
      </x:c>
      <x:c r="B476" s="2" t="str">
        <x:v>C2B</x:v>
      </x:c>
      <x:c r="C476" s="23" t="n">
        <x:v>0.5</x:v>
      </x:c>
      <x:c r="D476" s="25" t="n">
        <x:f>'Subcriterion marks'!H22</x:f>
        <x:v>50</x:v>
      </x:c>
      <x:c r="E476" s="4" t="str">
        <x:v>cites relevant syntheses without evaluating their quality.</x:v>
      </x:c>
    </x:row>
    <x:row r="477" ht="62" customHeight="1">
      <x:c r="A477" s="8" t="str">
        <x:v>Participant_564388_assignsubmission_file</x:v>
      </x:c>
      <x:c r="B477" s="8" t="str">
        <x:v>C2C</x:v>
      </x:c>
      <x:c r="C477" s="24" t="n">
        <x:v>0.5</x:v>
      </x:c>
      <x:c r="D477" s="26" t="n">
        <x:f>'Subcriterion marks'!I22</x:f>
        <x:v>50</x:v>
      </x:c>
      <x:c r="E477" s="22" t="str">
        <x:v>reports guided/unguided differences but does little to assess inference or alternatives.</x:v>
      </x:c>
    </x:row>
    <x:row r="478" ht="62" customHeight="1">
      <x:c r="A478" s="2" t="str">
        <x:v>Participant_564388_assignsubmission_file</x:v>
      </x:c>
      <x:c r="B478" s="2" t="str">
        <x:v>C2D</x:v>
      </x:c>
      <x:c r="C478" s="23" t="n">
        <x:v>0.5</x:v>
      </x:c>
      <x:c r="D478" s="25" t="n">
        <x:f>'Subcriterion marks'!J22</x:f>
        <x:v>50</x:v>
      </x:c>
      <x:c r="E478" s="4" t="str">
        <x:v>contextual qualification remains general rather than study-specific.</x:v>
      </x:c>
    </x:row>
    <x:row r="479" ht="62" customHeight="1">
      <x:c r="A479" s="8" t="str">
        <x:v>Participant_564388_assignsubmission_file</x:v>
      </x:c>
      <x:c r="B479" s="8" t="str">
        <x:v>C2E</x:v>
      </x:c>
      <x:c r="C479" s="24" t="n">
        <x:v>0.5</x:v>
      </x:c>
      <x:c r="D479" s="26" t="n">
        <x:f>'Subcriterion marks'!K22</x:f>
        <x:v>50</x:v>
      </x:c>
      <x:c r="E479" s="22" t="str">
        <x:v>risks are acknowledged more than tested as counterarguments.</x:v>
      </x:c>
    </x:row>
    <x:row r="480" ht="62" customHeight="1">
      <x:c r="A480" s="2" t="str">
        <x:v>Participant_564388_assignsubmission_file</x:v>
      </x:c>
      <x:c r="B480" s="2" t="str">
        <x:v>C2F</x:v>
      </x:c>
      <x:c r="C480" s="23" t="n">
        <x:v>0.5</x:v>
      </x:c>
      <x:c r="D480" s="25" t="n">
        <x:f>'Subcriterion marks'!L22</x:f>
        <x:v>50</x:v>
      </x:c>
      <x:c r="E480" s="4" t="str">
        <x:v>advocates bias checking without much visible evaluation of its own preferred claims.</x:v>
      </x:c>
    </x:row>
    <x:row r="481" ht="62" customHeight="1">
      <x:c r="A481" s="8" t="str">
        <x:v>Participant_564388_assignsubmission_file</x:v>
      </x:c>
      <x:c r="B481" s="8" t="str">
        <x:v>C3A</x:v>
      </x:c>
      <x:c r="C481" s="24" t="n">
        <x:v>0.5</x:v>
      </x:c>
      <x:c r="D481" s="26" t="n">
        <x:f>'Subcriterion marks'!M22</x:f>
        <x:v>50</x:v>
      </x:c>
      <x:c r="E481" s="22" t="str">
        <x:v>general argument analysis rather than a clearly developed applied framework.</x:v>
      </x:c>
    </x:row>
    <x:row r="482" ht="62" customHeight="1">
      <x:c r="A482" s="2" t="str">
        <x:v>Participant_564388_assignsubmission_file</x:v>
      </x:c>
      <x:c r="B482" s="2" t="str">
        <x:v>C3B</x:v>
      </x:c>
      <x:c r="C482" s="23" t="n">
        <x:v>0.5</x:v>
      </x:c>
      <x:c r="D482" s="25" t="n">
        <x:f>'Subcriterion marks'!N22</x:f>
        <x:v>45</x:v>
      </x:c>
      <x:c r="E482" s="4" t="str">
        <x:v>little developed explanation of evidence-based persuasion techniques.</x:v>
      </x:c>
    </x:row>
    <x:row r="483" ht="62" customHeight="1">
      <x:c r="A483" s="8" t="str">
        <x:v>Participant_564388_assignsubmission_file</x:v>
      </x:c>
      <x:c r="B483" s="8" t="str">
        <x:v>C3C</x:v>
      </x:c>
      <x:c r="C483" s="24" t="n">
        <x:v>1</x:v>
      </x:c>
      <x:c r="D483" s="26" t="n">
        <x:f>'Subcriterion marks'!O22</x:f>
        <x:v>65</x:v>
      </x:c>
      <x:c r="E483" s="22" t="str">
        <x:v>fair, qualified presentation.</x:v>
      </x:c>
    </x:row>
    <x:row r="484" ht="62" customHeight="1">
      <x:c r="A484" s="2" t="str">
        <x:v>Participant_564388_assignsubmission_file</x:v>
      </x:c>
      <x:c r="B484" s="2" t="str">
        <x:v>C3D</x:v>
      </x:c>
      <x:c r="C484" s="23" t="n">
        <x:v>1</x:v>
      </x:c>
      <x:c r="D484" s="25" t="n">
        <x:f>'Subcriterion marks'!P22</x:f>
        <x:v>65</x:v>
      </x:c>
      <x:c r="E484" s="4" t="str">
        <x:v>accessible blog structure and student examples.</x:v>
      </x:c>
    </x:row>
    <x:row r="485" ht="62" customHeight="1">
      <x:c r="A485" s="8" t="str">
        <x:v>Participant_564388_assignsubmission_file</x:v>
      </x:c>
      <x:c r="B485" s="8" t="str">
        <x:v>C3E</x:v>
      </x:c>
      <x:c r="C485" s="24" t="n">
        <x:v>1</x:v>
      </x:c>
      <x:c r="D485" s="26" t="n">
        <x:f>'Subcriterion marks'!Q22</x:f>
        <x:v>65</x:v>
      </x:c>
      <x:c r="E485" s="22" t="str">
        <x:v>clear, relevant communication.</x:v>
      </x:c>
    </x:row>
    <x:row r="486" ht="62" customHeight="1">
      <x:c r="A486" s="2" t="str">
        <x:v>Participant_564388_assignsubmission_file</x:v>
      </x:c>
      <x:c r="B486" s="2" t="str">
        <x:v>C4A</x:v>
      </x:c>
      <x:c r="C486" s="23" t="n">
        <x:v>0.5</x:v>
      </x:c>
      <x:c r="D486" s="25" t="n">
        <x:f>'Subcriterion marks'!R22</x:f>
        <x:v>55</x:v>
      </x:c>
      <x:c r="E486" s="4" t="str">
        <x:v>repetition reduces concision.</x:v>
      </x:c>
    </x:row>
    <x:row r="487" ht="62" customHeight="1">
      <x:c r="A487" s="8" t="str">
        <x:v>Participant_564388_assignsubmission_file</x:v>
      </x:c>
      <x:c r="B487" s="8" t="str">
        <x:v>C4B</x:v>
      </x:c>
      <x:c r="C487" s="24" t="n">
        <x:v>1</x:v>
      </x:c>
      <x:c r="D487" s="26" t="n">
        <x:f>'Subcriterion marks'!S22</x:f>
        <x:v>65</x:v>
      </x:c>
      <x:c r="E487" s="22" t="str">
        <x:v>coherent section sequence.</x:v>
      </x:c>
    </x:row>
    <x:row r="488" ht="62" customHeight="1">
      <x:c r="A488" s="2" t="str">
        <x:v>Participant_564388_assignsubmission_file</x:v>
      </x:c>
      <x:c r="B488" s="2" t="str">
        <x:v>C4C</x:v>
      </x:c>
      <x:c r="C488" s="23" t="n">
        <x:v>1</x:v>
      </x:c>
      <x:c r="D488" s="25" t="n">
        <x:f>'Subcriterion marks'!T22</x:f>
        <x:v>65</x:v>
      </x:c>
      <x:c r="E488" s="4" t="str">
        <x:v>opening and conclusion align.</x:v>
      </x:c>
    </x:row>
    <x:row r="489" ht="62" customHeight="1">
      <x:c r="A489" s="8" t="str">
        <x:v>Participant_564388_assignsubmission_file</x:v>
      </x:c>
      <x:c r="B489" s="8" t="str">
        <x:v>C4D</x:v>
      </x:c>
      <x:c r="C489" s="24" t="n">
        <x:v>1</x:v>
      </x:c>
      <x:c r="D489" s="26" t="n">
        <x:f>'Subcriterion marks'!U22</x:f>
        <x:v>65</x:v>
      </x:c>
      <x:c r="E489" s="22" t="str">
        <x:v>student-use examples clarify the distinction.</x:v>
      </x:c>
    </x:row>
    <x:row r="490" ht="62" customHeight="1">
      <x:c r="A490" s="2" t="str">
        <x:v>Participant_564388_assignsubmission_file</x:v>
      </x:c>
      <x:c r="B490" s="2" t="str">
        <x:v>C4E</x:v>
      </x:c>
      <x:c r="C490" s="23" t="n">
        <x:v>1</x:v>
      </x:c>
      <x:c r="D490" s="25" t="n">
        <x:f>'Subcriterion marks'!V22</x:f>
        <x:v>65</x:v>
      </x:c>
      <x:c r="E490" s="4" t="str">
        <x:v>generally accurate expression with minor lapses.</x:v>
      </x:c>
    </x:row>
    <x:row r="491" ht="62" customHeight="1">
      <x:c r="A491" s="8" t="str">
        <x:v>Participant_564388_assignsubmission_file</x:v>
      </x:c>
      <x:c r="B491" s="8" t="str">
        <x:v>C4F</x:v>
      </x:c>
      <x:c r="C491" s="24" t="n">
        <x:v>0.5</x:v>
      </x:c>
      <x:c r="D491" s="26" t="n">
        <x:f>'Subcriterion marks'!W22</x:f>
        <x:v>55</x:v>
      </x:c>
      <x:c r="E491" s="22" t="str">
        <x:v>some narrative citations omit years and details are inconsistent.</x:v>
      </x:c>
    </x:row>
    <x:row r="492" ht="62" customHeight="1">
      <x:c r="A492" s="2" t="str">
        <x:v>Participant_564388_assignsubmission_file</x:v>
      </x:c>
      <x:c r="B492" s="2" t="str">
        <x:v>C4G</x:v>
      </x:c>
      <x:c r="C492" s="23" t="n">
        <x:v>0.5</x:v>
      </x:c>
      <x:c r="D492" s="25" t="n">
        <x:f>'Subcriterion marks'!X22</x:f>
        <x:v>60</x:v>
      </x:c>
      <x:c r="E492" s="4" t="str">
        <x:v>approximately 1,315 words, below the minimum, with otherwise appropriate structure.</x:v>
      </x:c>
    </x:row>
    <x:row r="493" ht="62" customHeight="1">
      <x:c r="A493" s="8" t="str">
        <x:v>Participant_564388_assignsubmission_file</x:v>
      </x:c>
      <x:c r="B493" s="8" t="str">
        <x:v>C5A</x:v>
      </x:c>
      <x:c r="C493" s="24" t="n">
        <x:v>0</x:v>
      </x:c>
      <x:c r="D493" s="26" t="n">
        <x:f>'Subcriterion marks'!Y22</x:f>
        <x:v>40</x:v>
      </x:c>
      <x:c r="E493" s="22" t="str">
        <x:v>four relevant references provide a narrow reading range.</x:v>
      </x:c>
    </x:row>
    <x:row r="494" ht="62" customHeight="1">
      <x:c r="A494" s="2" t="str">
        <x:v>Participant_564388_assignsubmission_file</x:v>
      </x:c>
      <x:c r="B494" s="2" t="str">
        <x:v>C5B</x:v>
      </x:c>
      <x:c r="C494" s="23" t="n">
        <x:v>1</x:v>
      </x:c>
      <x:c r="D494" s="25" t="n">
        <x:f>'Subcriterion marks'!Z22</x:f>
        <x:v>70</x:v>
      </x:c>
      <x:c r="E494" s="4" t="str">
        <x:v>scholarly syntheses and the core text.</x:v>
      </x:c>
    </x:row>
    <x:row r="495" ht="62" customHeight="1">
      <x:c r="A495" s="8" t="str">
        <x:v>Participant_564388_assignsubmission_file</x:v>
      </x:c>
      <x:c r="B495" s="8" t="str">
        <x:v>C5C</x:v>
      </x:c>
      <x:c r="C495" s="24" t="n">
        <x:v>1</x:v>
      </x:c>
      <x:c r="D495" s="26" t="n">
        <x:f>'Subcriterion marks'!AA22</x:f>
        <x:v>65</x:v>
      </x:c>
      <x:c r="E495" s="22" t="str">
        <x:v>current AI evidence with foundational theory.</x:v>
      </x:c>
    </x:row>
    <x:row r="496" ht="62" customHeight="1">
      <x:c r="A496" s="2" t="str">
        <x:v>Participant_564388_assignsubmission_file</x:v>
      </x:c>
      <x:c r="B496" s="2" t="str">
        <x:v>C5D</x:v>
      </x:c>
      <x:c r="C496" s="23" t="n">
        <x:v>0</x:v>
      </x:c>
      <x:c r="D496" s="25" t="n">
        <x:f>'Subcriterion marks'!AB22</x:f>
        <x:v>25</x:v>
      </x:c>
      <x:c r="E496" s="4" t="str">
        <x:v>no direct empirical study; empirical claims are mediated by syntheses.</x:v>
      </x:c>
    </x:row>
    <x:row r="497" ht="62" customHeight="1">
      <x:c r="A497" s="8" t="str">
        <x:v>Participant_564388_assignsubmission_file</x:v>
      </x:c>
      <x:c r="B497" s="8" t="str">
        <x:v>C5E</x:v>
      </x:c>
      <x:c r="C497" s="24" t="n">
        <x:v>1</x:v>
      </x:c>
      <x:c r="D497" s="26" t="n">
        <x:f>'Subcriterion marks'!AC22</x:f>
        <x:v>65</x:v>
      </x:c>
      <x:c r="E497" s="22" t="str">
        <x:v>relevant systematic review and meta-analyses.</x:v>
      </x:c>
    </x:row>
    <x:row r="498" ht="62" customHeight="1">
      <x:c r="A498" s="2" t="str">
        <x:v>Participant_564388_assignsubmission_file</x:v>
      </x:c>
      <x:c r="B498" s="2" t="str">
        <x:v>C5F</x:v>
      </x:c>
      <x:c r="C498" s="23" t="n">
        <x:v>0.5</x:v>
      </x:c>
      <x:c r="D498" s="25" t="n">
        <x:f>'Subcriterion marks'!AD22</x:f>
        <x:v>50</x:v>
      </x:c>
      <x:c r="E498" s="4" t="str">
        <x:v>sources support a common thesis with limited critical comparison.</x:v>
      </x:c>
    </x:row>
  </x:sheetData>
  <x:pageMargins left="0.7" right="0.7" top="0.75" bottom="0.75" header="0.3" footer="0.3"/>
</x:worksheet>
</file>