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e5e3c60d9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n distributions" sheetId="1" r:id="R6d12b4d1dcc641b4"/>
    <x:sheet xmlns:r="http://schemas.openxmlformats.org/officeDocument/2006/relationships" name="Subcriterion distributions" sheetId="2" r:id="R9459229ffe024e88"/>
    <x:sheet xmlns:r="http://schemas.openxmlformats.org/officeDocument/2006/relationships" name="Student scoring matrix" sheetId="3" r:id="R66abe5370363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"/>
    <x:numFmt numFmtId="202" formatCode="0"/>
  </x:numFmts>
  <x:fonts count="5">
    <x:font>
      <x:sz val="11"/>
      <x:name val="Carlito"/>
    </x:font>
    <x:font>
      <x:sz val="11"/>
      <x:color rgb="FF203047"/>
      <x:name val="Arial"/>
    </x:font>
    <x:font>
      <x:b/>
      <x:sz val="16"/>
      <x:color rgb="FF203047"/>
      <x:name val="Arial"/>
    </x:font>
    <x:font>
      <x:b/>
      <x:sz val="11"/>
      <x:color rgb="FFFFFFFF"/>
      <x:name val="Arial"/>
    </x:font>
    <x:font>
      <x:b/>
      <x:sz val="11"/>
      <x:color rgb="FF2030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F5B"/>
      </x:patternFill>
    </x:fill>
    <x:fill>
      <x:patternFill patternType="solid">
        <x:fgColor rgb="FFF1F4F8"/>
      </x:patternFill>
    </x:fill>
  </x:fills>
  <x:borders count="2">
    <x:border/>
    <x:border>
      <x:bottom style="thin">
        <x:color rgb="FF96A5B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6ad9f44584a1a" /><Relationship Type="http://schemas.openxmlformats.org/officeDocument/2006/relationships/theme" Target="/xl/theme/theme1.xml" Id="R09d147d851dd4bed" /><Relationship Type="http://schemas.openxmlformats.org/officeDocument/2006/relationships/sharedStrings" Target="/xl/sharedStrings.xml" Id="Rbfd6b8fbc42a4b06" /><Relationship Type="http://schemas.openxmlformats.org/officeDocument/2006/relationships/worksheet" Target="/xl/worksheets/sheet1.xml" Id="R6d12b4d1dcc641b4" /><Relationship Type="http://schemas.openxmlformats.org/officeDocument/2006/relationships/worksheet" Target="/xl/worksheets/sheet2.xml" Id="R9459229ffe024e88" /><Relationship Type="http://schemas.openxmlformats.org/officeDocument/2006/relationships/worksheet" Target="/xl/worksheets/sheet3.xml" Id="R66abe537036349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F5B"/>
  </x:sheetPr>
  <x:sheetViews>
    <x:sheetView showGridLines="0" workbookViewId="0"/>
  </x:sheetViews>
  <x:sheetFormatPr defaultRowHeight="15"/>
  <x:cols>
    <x:col min="1" max="1" width="49" hidden="0" customWidth="1"/>
    <x:col min="2" max="2" width="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4" customHeight="1">
      <x:c r="A2" s="3" t="str">
        <x:v>Criterion distributions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24" customHeight="1">
      <x:c r="A3" s="2" t="str">
        <x:v>17 submissions. Raw totals are unweighted competence counts; no percentage marks or overall grades.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24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</x:row>
    <x:row r="5" ht="44" customHeight="1">
      <x:c r="A5" s="8" t="str">
        <x:v>Criterion</x:v>
      </x:c>
      <x:c r="B5" s="8" t="str">
        <x:v>N</x:v>
      </x:c>
      <x:c r="C5" s="8" t="str">
        <x:v>Maximum possible</x:v>
      </x:c>
      <x:c r="D5" s="8" t="str">
        <x:v>Minimum observed</x:v>
      </x:c>
      <x:c r="E5" s="8" t="str">
        <x:v>Maximum observed</x:v>
      </x:c>
      <x:c r="F5" s="8" t="str">
        <x:v>Mean raw total</x:v>
      </x:c>
      <x:c r="G5" s="8" t="str">
        <x:v>Population SD raw</x:v>
      </x:c>
      <x:c r="H5" s="8" t="str">
        <x:v>Mean (0–1)</x:v>
      </x:c>
      <x:c r="I5" s="8" t="str">
        <x:v>Population SD (0–1)</x:v>
      </x:c>
      <x:c r="J5" s="8" t="str">
        <x:v>Count at 0</x:v>
      </x:c>
      <x:c r="K5" s="8" t="str">
        <x:v>Count at 0.5</x:v>
      </x:c>
      <x:c r="L5" s="8" t="str">
        <x:v>Count at 1</x:v>
      </x:c>
      <x:c r="M5" s="8" t="str">
        <x:v>Count at 1.5</x:v>
      </x:c>
      <x:c r="N5" s="8" t="str">
        <x:v>Count at 2</x:v>
      </x:c>
      <x:c r="O5" s="8" t="str">
        <x:v>Count at 2.5</x:v>
      </x:c>
      <x:c r="P5" s="8" t="str">
        <x:v>Count at 3</x:v>
      </x:c>
      <x:c r="Q5" s="8" t="str">
        <x:v>Count at 3.5</x:v>
      </x:c>
      <x:c r="R5" s="8" t="str">
        <x:v>Count at 4</x:v>
      </x:c>
      <x:c r="S5" s="8" t="str">
        <x:v>Count at 4.5</x:v>
      </x:c>
      <x:c r="T5" s="8" t="str">
        <x:v>Count at 5</x:v>
      </x:c>
      <x:c r="U5" s="8" t="str">
        <x:v>Count at 5.5</x:v>
      </x:c>
      <x:c r="V5" s="8" t="str">
        <x:v>Count at 6</x:v>
      </x:c>
      <x:c r="W5" s="8" t="str">
        <x:v>Count at 6.5</x:v>
      </x:c>
      <x:c r="X5" s="8" t="str">
        <x:v>Count at 7</x:v>
      </x:c>
    </x:row>
    <x:row r="6" ht="24" customHeight="1">
      <x:c r="A6" s="2" t="str">
        <x:v>C1. Knowledge and Understanding</x:v>
      </x:c>
      <x:c r="B6" s="18" t="n">
        <x:f>COUNT('Student scoring matrix'!AE6:AE22)</x:f>
        <x:v>17</x:v>
      </x:c>
      <x:c r="C6" s="18" t="n">
        <x:v>5</x:v>
      </x:c>
      <x:c r="D6" s="10" t="n">
        <x:f>MIN('Student scoring matrix'!AE6:AE22)</x:f>
        <x:v>2</x:v>
      </x:c>
      <x:c r="E6" s="10" t="n">
        <x:f>MAX('Student scoring matrix'!AE6:AE22)</x:f>
        <x:v>4.5</x:v>
      </x:c>
      <x:c r="F6" s="20" t="n">
        <x:f>AVERAGE('Student scoring matrix'!AE6:AE22)</x:f>
        <x:v>3.235294117647059</x:v>
      </x:c>
      <x:c r="G6" s="20" t="n">
        <x:f>STDEV.P('Student scoring matrix'!AE6:AE22)</x:f>
        <x:v>0.8245791628750699</x:v>
      </x:c>
      <x:c r="H6" s="20" t="n">
        <x:f>AVERAGE('Student scoring matrix'!AF6:AF22)</x:f>
        <x:v>0.6470588235294118</x:v>
      </x:c>
      <x:c r="I6" s="20" t="n">
        <x:f>STDEV.P('Student scoring matrix'!AF6:AF22)</x:f>
        <x:v>0.16491583257501397</x:v>
      </x:c>
      <x:c r="J6" s="18" t="n">
        <x:f>COUNTIFS('Student scoring matrix'!AE6:AE22,0)</x:f>
        <x:v>0</x:v>
      </x:c>
      <x:c r="K6" s="18" t="n">
        <x:f>COUNTIFS('Student scoring matrix'!AE6:AE22,0.5)</x:f>
        <x:v>0</x:v>
      </x:c>
      <x:c r="L6" s="18" t="n">
        <x:f>COUNTIFS('Student scoring matrix'!AE6:AE22,1)</x:f>
        <x:v>0</x:v>
      </x:c>
      <x:c r="M6" s="18" t="n">
        <x:f>COUNTIFS('Student scoring matrix'!AE6:AE22,1.5)</x:f>
        <x:v>0</x:v>
      </x:c>
      <x:c r="N6" s="18" t="n">
        <x:f>COUNTIFS('Student scoring matrix'!AE6:AE22,2)</x:f>
        <x:v>3</x:v>
      </x:c>
      <x:c r="O6" s="18" t="n">
        <x:f>COUNTIFS('Student scoring matrix'!AE6:AE22,2.5)</x:f>
        <x:v>2</x:v>
      </x:c>
      <x:c r="P6" s="18" t="n">
        <x:f>COUNTIFS('Student scoring matrix'!AE6:AE22,3)</x:f>
        <x:v>4</x:v>
      </x:c>
      <x:c r="Q6" s="18" t="n">
        <x:f>COUNTIFS('Student scoring matrix'!AE6:AE22,3.5)</x:f>
        <x:v>2</x:v>
      </x:c>
      <x:c r="R6" s="18" t="n">
        <x:f>COUNTIFS('Student scoring matrix'!AE6:AE22,4)</x:f>
        <x:v>4</x:v>
      </x:c>
      <x:c r="S6" s="18" t="n">
        <x:f>COUNTIFS('Student scoring matrix'!AE6:AE22,4.5)</x:f>
        <x:v>2</x:v>
      </x:c>
      <x:c r="T6" s="18" t="n">
        <x:f>COUNTIFS('Student scoring matrix'!AE6:AE22,5)</x:f>
        <x:v>0</x:v>
      </x:c>
      <x:c r="U6" s="18" t="n">
        <x:f>COUNTIFS('Student scoring matrix'!AE6:AE22,5.5)</x:f>
        <x:v>0</x:v>
      </x:c>
      <x:c r="V6" s="18" t="n">
        <x:f>COUNTIFS('Student scoring matrix'!AE6:AE22,6)</x:f>
        <x:v>0</x:v>
      </x:c>
      <x:c r="W6" s="18" t="n">
        <x:f>COUNTIFS('Student scoring matrix'!AE6:AE22,6.5)</x:f>
        <x:v>0</x:v>
      </x:c>
      <x:c r="X6" s="18" t="n">
        <x:f>COUNTIFS('Student scoring matrix'!AE6:AE22,7)</x:f>
        <x:v>0</x:v>
      </x:c>
    </x:row>
    <x:row r="7" ht="24" customHeight="1">
      <x:c r="A7" s="9" t="str">
        <x:v>C2. Critical Analysis and Evaluation</x:v>
      </x:c>
      <x:c r="B7" s="19" t="n">
        <x:f>COUNT('Student scoring matrix'!AG6:AG22)</x:f>
        <x:v>17</x:v>
      </x:c>
      <x:c r="C7" s="19" t="n">
        <x:v>6</x:v>
      </x:c>
      <x:c r="D7" s="11" t="n">
        <x:f>MIN('Student scoring matrix'!AG6:AG22)</x:f>
        <x:v>3</x:v>
      </x:c>
      <x:c r="E7" s="11" t="n">
        <x:f>MAX('Student scoring matrix'!AG6:AG22)</x:f>
        <x:v>6</x:v>
      </x:c>
      <x:c r="F7" s="21" t="n">
        <x:f>AVERAGE('Student scoring matrix'!AG6:AG22)</x:f>
        <x:v>4.794117647058823</x:v>
      </x:c>
      <x:c r="G7" s="21" t="n">
        <x:f>STDEV.P('Student scoring matrix'!AG6:AG22)</x:f>
        <x:v>1.0718157151934469</x:v>
      </x:c>
      <x:c r="H7" s="21" t="n">
        <x:f>AVERAGE('Student scoring matrix'!AH6:AH22)</x:f>
        <x:v>0.7990196078431373</x:v>
      </x:c>
      <x:c r="I7" s="21" t="n">
        <x:f>STDEV.P('Student scoring matrix'!AH6:AH22)</x:f>
        <x:v>0.17863595253224113</x:v>
      </x:c>
      <x:c r="J7" s="19" t="n">
        <x:f>COUNTIFS('Student scoring matrix'!AG6:AG22,0)</x:f>
        <x:v>0</x:v>
      </x:c>
      <x:c r="K7" s="19" t="n">
        <x:f>COUNTIFS('Student scoring matrix'!AG6:AG22,0.5)</x:f>
        <x:v>0</x:v>
      </x:c>
      <x:c r="L7" s="19" t="n">
        <x:f>COUNTIFS('Student scoring matrix'!AG6:AG22,1)</x:f>
        <x:v>0</x:v>
      </x:c>
      <x:c r="M7" s="19" t="n">
        <x:f>COUNTIFS('Student scoring matrix'!AG6:AG22,1.5)</x:f>
        <x:v>0</x:v>
      </x:c>
      <x:c r="N7" s="19" t="n">
        <x:f>COUNTIFS('Student scoring matrix'!AG6:AG22,2)</x:f>
        <x:v>0</x:v>
      </x:c>
      <x:c r="O7" s="19" t="n">
        <x:f>COUNTIFS('Student scoring matrix'!AG6:AG22,2.5)</x:f>
        <x:v>0</x:v>
      </x:c>
      <x:c r="P7" s="19" t="n">
        <x:f>COUNTIFS('Student scoring matrix'!AG6:AG22,3)</x:f>
        <x:v>1</x:v>
      </x:c>
      <x:c r="Q7" s="19" t="n">
        <x:f>COUNTIFS('Student scoring matrix'!AG6:AG22,3.5)</x:f>
        <x:v>4</x:v>
      </x:c>
      <x:c r="R7" s="19" t="n">
        <x:f>COUNTIFS('Student scoring matrix'!AG6:AG22,4)</x:f>
        <x:v>1</x:v>
      </x:c>
      <x:c r="S7" s="19" t="n">
        <x:f>COUNTIFS('Student scoring matrix'!AG6:AG22,4.5)</x:f>
        <x:v>2</x:v>
      </x:c>
      <x:c r="T7" s="19" t="n">
        <x:f>COUNTIFS('Student scoring matrix'!AG6:AG22,5)</x:f>
        <x:v>1</x:v>
      </x:c>
      <x:c r="U7" s="19" t="n">
        <x:f>COUNTIFS('Student scoring matrix'!AG6:AG22,5.5)</x:f>
        <x:v>3</x:v>
      </x:c>
      <x:c r="V7" s="19" t="n">
        <x:f>COUNTIFS('Student scoring matrix'!AG6:AG22,6)</x:f>
        <x:v>5</x:v>
      </x:c>
      <x:c r="W7" s="19" t="n">
        <x:f>COUNTIFS('Student scoring matrix'!AG6:AG22,6.5)</x:f>
        <x:v>0</x:v>
      </x:c>
      <x:c r="X7" s="19" t="n">
        <x:f>COUNTIFS('Student scoring matrix'!AG6:AG22,7)</x:f>
        <x:v>0</x:v>
      </x:c>
    </x:row>
    <x:row r="8" ht="24" customHeight="1">
      <x:c r="A8" s="2" t="str">
        <x:v>C3. Application to Persuasive Blog Writing</x:v>
      </x:c>
      <x:c r="B8" s="18" t="n">
        <x:f>COUNT('Student scoring matrix'!AI6:AI22)</x:f>
        <x:v>17</x:v>
      </x:c>
      <x:c r="C8" s="18" t="n">
        <x:v>5</x:v>
      </x:c>
      <x:c r="D8" s="10" t="n">
        <x:f>MIN('Student scoring matrix'!AI6:AI22)</x:f>
        <x:v>2.5</x:v>
      </x:c>
      <x:c r="E8" s="10" t="n">
        <x:f>MAX('Student scoring matrix'!AI6:AI22)</x:f>
        <x:v>5</x:v>
      </x:c>
      <x:c r="F8" s="20" t="n">
        <x:f>AVERAGE('Student scoring matrix'!AI6:AI22)</x:f>
        <x:v>4.088235294117647</x:v>
      </x:c>
      <x:c r="G8" s="20" t="n">
        <x:f>STDEV.P('Student scoring matrix'!AI6:AI22)</x:f>
        <x:v>0.752159520737907</x:v>
      </x:c>
      <x:c r="H8" s="20" t="n">
        <x:f>AVERAGE('Student scoring matrix'!AJ6:AJ22)</x:f>
        <x:v>0.8176470588235295</x:v>
      </x:c>
      <x:c r="I8" s="20" t="n">
        <x:f>STDEV.P('Student scoring matrix'!AJ6:AJ22)</x:f>
        <x:v>0.15043190414758142</x:v>
      </x:c>
      <x:c r="J8" s="18" t="n">
        <x:f>COUNTIFS('Student scoring matrix'!AI6:AI22,0)</x:f>
        <x:v>0</x:v>
      </x:c>
      <x:c r="K8" s="18" t="n">
        <x:f>COUNTIFS('Student scoring matrix'!AI6:AI22,0.5)</x:f>
        <x:v>0</x:v>
      </x:c>
      <x:c r="L8" s="18" t="n">
        <x:f>COUNTIFS('Student scoring matrix'!AI6:AI22,1)</x:f>
        <x:v>0</x:v>
      </x:c>
      <x:c r="M8" s="18" t="n">
        <x:f>COUNTIFS('Student scoring matrix'!AI6:AI22,1.5)</x:f>
        <x:v>0</x:v>
      </x:c>
      <x:c r="N8" s="18" t="n">
        <x:f>COUNTIFS('Student scoring matrix'!AI6:AI22,2)</x:f>
        <x:v>0</x:v>
      </x:c>
      <x:c r="O8" s="18" t="n">
        <x:f>COUNTIFS('Student scoring matrix'!AI6:AI22,2.5)</x:f>
        <x:v>1</x:v>
      </x:c>
      <x:c r="P8" s="18" t="n">
        <x:f>COUNTIFS('Student scoring matrix'!AI6:AI22,3)</x:f>
        <x:v>3</x:v>
      </x:c>
      <x:c r="Q8" s="18" t="n">
        <x:f>COUNTIFS('Student scoring matrix'!AI6:AI22,3.5)</x:f>
        <x:v>0</x:v>
      </x:c>
      <x:c r="R8" s="18" t="n">
        <x:f>COUNTIFS('Student scoring matrix'!AI6:AI22,4)</x:f>
        <x:v>4</x:v>
      </x:c>
      <x:c r="S8" s="18" t="n">
        <x:f>COUNTIFS('Student scoring matrix'!AI6:AI22,4.5)</x:f>
        <x:v>6</x:v>
      </x:c>
      <x:c r="T8" s="18" t="n">
        <x:f>COUNTIFS('Student scoring matrix'!AI6:AI22,5)</x:f>
        <x:v>3</x:v>
      </x:c>
      <x:c r="U8" s="18" t="n">
        <x:f>COUNTIFS('Student scoring matrix'!AI6:AI22,5.5)</x:f>
        <x:v>0</x:v>
      </x:c>
      <x:c r="V8" s="18" t="n">
        <x:f>COUNTIFS('Student scoring matrix'!AI6:AI22,6)</x:f>
        <x:v>0</x:v>
      </x:c>
      <x:c r="W8" s="18" t="n">
        <x:f>COUNTIFS('Student scoring matrix'!AI6:AI22,6.5)</x:f>
        <x:v>0</x:v>
      </x:c>
      <x:c r="X8" s="18" t="n">
        <x:f>COUNTIFS('Student scoring matrix'!AI6:AI22,7)</x:f>
        <x:v>0</x:v>
      </x:c>
    </x:row>
    <x:row r="9" ht="24" customHeight="1">
      <x:c r="A9" s="9" t="str">
        <x:v>C4. Presentation and Academic Conventions</x:v>
      </x:c>
      <x:c r="B9" s="19" t="n">
        <x:f>COUNT('Student scoring matrix'!AK6:AK22)</x:f>
        <x:v>17</x:v>
      </x:c>
      <x:c r="C9" s="19" t="n">
        <x:v>7</x:v>
      </x:c>
      <x:c r="D9" s="11" t="n">
        <x:f>MIN('Student scoring matrix'!AK6:AK22)</x:f>
        <x:v>5</x:v>
      </x:c>
      <x:c r="E9" s="11" t="n">
        <x:f>MAX('Student scoring matrix'!AK6:AK22)</x:f>
        <x:v>7</x:v>
      </x:c>
      <x:c r="F9" s="21" t="n">
        <x:f>AVERAGE('Student scoring matrix'!AK6:AK22)</x:f>
        <x:v>6.235294117647059</x:v>
      </x:c>
      <x:c r="G9" s="21" t="n">
        <x:f>STDEV.P('Student scoring matrix'!AK6:AK22)</x:f>
        <x:v>0.7095492989302834</x:v>
      </x:c>
      <x:c r="H9" s="21" t="n">
        <x:f>AVERAGE('Student scoring matrix'!AL6:AL22)</x:f>
        <x:v>0.8907563025210086</x:v>
      </x:c>
      <x:c r="I9" s="21" t="n">
        <x:f>STDEV.P('Student scoring matrix'!AL6:AL22)</x:f>
        <x:v>0.10136418556146908</x:v>
      </x:c>
      <x:c r="J9" s="19" t="n">
        <x:f>COUNTIFS('Student scoring matrix'!AK6:AK22,0)</x:f>
        <x:v>0</x:v>
      </x:c>
      <x:c r="K9" s="19" t="n">
        <x:f>COUNTIFS('Student scoring matrix'!AK6:AK22,0.5)</x:f>
        <x:v>0</x:v>
      </x:c>
      <x:c r="L9" s="19" t="n">
        <x:f>COUNTIFS('Student scoring matrix'!AK6:AK22,1)</x:f>
        <x:v>0</x:v>
      </x:c>
      <x:c r="M9" s="19" t="n">
        <x:f>COUNTIFS('Student scoring matrix'!AK6:AK22,1.5)</x:f>
        <x:v>0</x:v>
      </x:c>
      <x:c r="N9" s="19" t="n">
        <x:f>COUNTIFS('Student scoring matrix'!AK6:AK22,2)</x:f>
        <x:v>0</x:v>
      </x:c>
      <x:c r="O9" s="19" t="n">
        <x:f>COUNTIFS('Student scoring matrix'!AK6:AK22,2.5)</x:f>
        <x:v>0</x:v>
      </x:c>
      <x:c r="P9" s="19" t="n">
        <x:f>COUNTIFS('Student scoring matrix'!AK6:AK22,3)</x:f>
        <x:v>0</x:v>
      </x:c>
      <x:c r="Q9" s="19" t="n">
        <x:f>COUNTIFS('Student scoring matrix'!AK6:AK22,3.5)</x:f>
        <x:v>0</x:v>
      </x:c>
      <x:c r="R9" s="19" t="n">
        <x:f>COUNTIFS('Student scoring matrix'!AK6:AK22,4)</x:f>
        <x:v>0</x:v>
      </x:c>
      <x:c r="S9" s="19" t="n">
        <x:f>COUNTIFS('Student scoring matrix'!AK6:AK22,4.5)</x:f>
        <x:v>0</x:v>
      </x:c>
      <x:c r="T9" s="19" t="n">
        <x:f>COUNTIFS('Student scoring matrix'!AK6:AK22,5)</x:f>
        <x:v>1</x:v>
      </x:c>
      <x:c r="U9" s="19" t="n">
        <x:f>COUNTIFS('Student scoring matrix'!AK6:AK22,5.5)</x:f>
        <x:v>6</x:v>
      </x:c>
      <x:c r="V9" s="19" t="n">
        <x:f>COUNTIFS('Student scoring matrix'!AK6:AK22,6)</x:f>
        <x:v>0</x:v>
      </x:c>
      <x:c r="W9" s="19" t="n">
        <x:f>COUNTIFS('Student scoring matrix'!AK6:AK22,6.5)</x:f>
        <x:v>4</x:v>
      </x:c>
      <x:c r="X9" s="19" t="n">
        <x:f>COUNTIFS('Student scoring matrix'!AK6:AK22,7)</x:f>
        <x:v>6</x:v>
      </x:c>
    </x:row>
    <x:row r="10" ht="24" customHeight="1">
      <x:c r="A10" s="2" t="str">
        <x:v>C5. Reading and Referencing</x:v>
      </x:c>
      <x:c r="B10" s="18" t="n">
        <x:f>COUNT('Student scoring matrix'!AM6:AM22)</x:f>
        <x:v>17</x:v>
      </x:c>
      <x:c r="C10" s="18" t="n">
        <x:v>6</x:v>
      </x:c>
      <x:c r="D10" s="10" t="n">
        <x:f>MIN('Student scoring matrix'!AM6:AM22)</x:f>
        <x:v>1</x:v>
      </x:c>
      <x:c r="E10" s="10" t="n">
        <x:f>MAX('Student scoring matrix'!AM6:AM22)</x:f>
        <x:v>6</x:v>
      </x:c>
      <x:c r="F10" s="20" t="n">
        <x:f>AVERAGE('Student scoring matrix'!AM6:AM22)</x:f>
        <x:v>4.676470588235294</x:v>
      </x:c>
      <x:c r="G10" s="20" t="n">
        <x:f>STDEV.P('Student scoring matrix'!AM6:AM22)</x:f>
        <x:v>1.2119645751786183</x:v>
      </x:c>
      <x:c r="H10" s="20" t="n">
        <x:f>AVERAGE('Student scoring matrix'!AN6:AN22)</x:f>
        <x:v>0.7794117647058825</x:v>
      </x:c>
      <x:c r="I10" s="20" t="n">
        <x:f>STDEV.P('Student scoring matrix'!AN6:AN22)</x:f>
        <x:v>0.20199409586310307</x:v>
      </x:c>
      <x:c r="J10" s="18" t="n">
        <x:f>COUNTIFS('Student scoring matrix'!AM6:AM22,0)</x:f>
        <x:v>0</x:v>
      </x:c>
      <x:c r="K10" s="18" t="n">
        <x:f>COUNTIFS('Student scoring matrix'!AM6:AM22,0.5)</x:f>
        <x:v>0</x:v>
      </x:c>
      <x:c r="L10" s="18" t="n">
        <x:f>COUNTIFS('Student scoring matrix'!AM6:AM22,1)</x:f>
        <x:v>1</x:v>
      </x:c>
      <x:c r="M10" s="18" t="n">
        <x:f>COUNTIFS('Student scoring matrix'!AM6:AM22,1.5)</x:f>
        <x:v>0</x:v>
      </x:c>
      <x:c r="N10" s="18" t="n">
        <x:f>COUNTIFS('Student scoring matrix'!AM6:AM22,2)</x:f>
        <x:v>0</x:v>
      </x:c>
      <x:c r="O10" s="18" t="n">
        <x:f>COUNTIFS('Student scoring matrix'!AM6:AM22,2.5)</x:f>
        <x:v>0</x:v>
      </x:c>
      <x:c r="P10" s="18" t="n">
        <x:f>COUNTIFS('Student scoring matrix'!AM6:AM22,3)</x:f>
        <x:v>1</x:v>
      </x:c>
      <x:c r="Q10" s="18" t="n">
        <x:f>COUNTIFS('Student scoring matrix'!AM6:AM22,3.5)</x:f>
        <x:v>1</x:v>
      </x:c>
      <x:c r="R10" s="18" t="n">
        <x:f>COUNTIFS('Student scoring matrix'!AM6:AM22,4)</x:f>
        <x:v>1</x:v>
      </x:c>
      <x:c r="S10" s="18" t="n">
        <x:f>COUNTIFS('Student scoring matrix'!AM6:AM22,4.5)</x:f>
        <x:v>2</x:v>
      </x:c>
      <x:c r="T10" s="18" t="n">
        <x:f>COUNTIFS('Student scoring matrix'!AM6:AM22,5)</x:f>
        <x:v>5</x:v>
      </x:c>
      <x:c r="U10" s="18" t="n">
        <x:f>COUNTIFS('Student scoring matrix'!AM6:AM22,5.5)</x:f>
        <x:v>4</x:v>
      </x:c>
      <x:c r="V10" s="18" t="n">
        <x:f>COUNTIFS('Student scoring matrix'!AM6:AM22,6)</x:f>
        <x:v>2</x:v>
      </x:c>
      <x:c r="W10" s="18" t="n">
        <x:f>COUNTIFS('Student scoring matrix'!AM6:AM22,6.5)</x:f>
        <x:v>0</x:v>
      </x:c>
      <x:c r="X10" s="18" t="n">
        <x:f>COUNTIFS('Student scoring matrix'!AM6:AM22,7)</x:f>
        <x:v>0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24" customHeight="1">
      <x:c r="A13" s="22" t="str">
        <x:v>Cohort pattern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24" customHeight="1">
      <x:c r="A14" s="2" t="str">
        <x:v>Strongest: C2A argument architecture and C4B organisation both have mean 1.000 and SD 0.000.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24" customHeight="1">
      <x:c r="A15" s="2" t="str">
        <x:v>C4C introduction/conclusion, C4D concrete communication, C5B academic sources and C5E synthesis each average 0.971.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24" customHeight="1">
      <x:c r="A16" s="2" t="str">
        <x:v>Weakest: C1D reasoning/inference 0.147; C5D primary evidence 0.559; C1B core reading 0.559.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24" customHeight="1">
      <x:c r="A17" s="2" t="str">
        <x:v>C3B explaining applied persuasion techniques averages 0.618; C5A reading range averages 0.559.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24" customHeight="1">
      <x:c r="A18" s="2" t="str">
        <x:v>Greatest criterion variability: C5, population SD 0.202 on the common 0–1 scale. Lowest: C4, SD 0.101.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24" customHeight="1">
      <x:c r="A19" s="2" t="str">
        <x:v>The ceiling on C2A and C4B was retained after comparison: all papers have an identifiable position and organised progression.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24" customHeight="1">
      <x:c r="A20" s="2" t="str">
        <x:v>These coarse scores record demonstrated competence, not the quality distinctions needed for subsequent percentage marks.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24" customHeight="1">
      <x:c r="A21" s="22" t="str">
        <x:v>Calibration and scope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24" customHeight="1">
      <x:c r="A22" s="2" t="str">
        <x:v>All 493 score cells were reviewed by subcriterion after independent first-pass reading. Ten cells were revised.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24" customHeight="1">
      <x:c r="A23" s="2" t="str">
        <x:v>C1D: naming an inaccurate inference rule earns 0; partial causal/associational explanation earns 0.5.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24" customHeight="1">
      <x:c r="A24" s="2" t="str">
        <x:v>Full C1D credit requires an accurate reasoning form plus its implications for certainty.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24" customHeight="1">
      <x:c r="A25" s="2" t="str">
        <x:v>C2B requires evaluation of evidence quality; credible citations alone normally earn partial credit.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24" customHeight="1">
      <x:c r="A26" s="2" t="str">
        <x:v>C3B separates visible persuasive writing from an explanation of the techniques in Methods.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24" customHeight="1">
      <x:c r="A27" s="2" t="str">
        <x:v>C5D distinguishes direct empirical research from synthesis; a primary bias study alone gives only partial coverage.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24" customHeight="1">
      <x:c r="A28" s="2" t="str">
        <x:v>Personal scenarios were accepted as illustrations when they were not used as sufficient empirical proof.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24" customHeight="1">
      <x:c r="A29" s="2" t="str">
        <x:v>No forced distribution, percentage marks, grade bands, overall scores or student-facing feedback were produced.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24" customHeight="1">
      <x:c r="A30" s="22" t="str">
        <x:v>Manual review points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24" customHeight="1">
      <x:c r="A31" s="2" t="str">
        <x:v>Participant_555062_assignsubmission_file: Methods labels attempted disconfirmation as modus ponens (C1D = 0).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24" customHeight="1">
      <x:c r="A32" s="2" t="str">
        <x:v>Participant_555069_assignsubmission_file: check risk wording, potato-emissions denominator and labour-cost units.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24" customHeight="1">
      <x:c r="A33" s="2" t="str">
        <x:v>Participant_555070_assignsubmission_file: Dunn is mislabelled as editor, but sixth edition and DOI identify the core text.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24" customHeight="1">
      <x:c r="A34" s="2" t="str">
        <x:v>Participant_555074_assignsubmission_file: vegetarian/vegan distinction affects the inference from eggs and dairy to omnivorism.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24" customHeight="1">
      <x:c r="A35" s="2" t="str">
        <x:v>Participant_555076_assignsubmission_file: core-text use is not established; the listed source is the 2021 article.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24" customHeight="1">
      <x:c r="A36" s="2" t="str">
        <x:v>Participant_555077_assignsubmission_file: PDF extraction flattened all paragraphs; confirm original layout and APA formatting.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24" customHeight="1">
      <x:c r="A37" s="22" t="str">
        <x:v>Word-limit checks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</x:row>
    <x:row r="38" ht="24" customHeight="1">
      <x:c r="A38" s="2" t="str">
        <x:v>Approximate blog counts include titles/headings and in-text citations; Methods, references and extraction headers are excluded.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24" customHeight="1">
      <x:c r="A39" s="2" t="str">
        <x:v>Minor/moderate shortfalls: 555070 1,339; 555071 1,222; 555078 1,270; 564388 1,315. C4G = 0.5.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</x:row>
    <x:row r="40" ht="24" customHeight="1">
      <x:c r="A40" s="2" t="str">
        <x:v>Substantial shortfalls: 555076 844; 555079 1,166. Both also have two Methods paragraphs. C4G = 0.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</x:row>
    <x:row r="41" ht="24" customHeight="1">
      <x:c r="A41" s="2" t="str">
        <x:v>Calibration convention: more than 10% below the 1,350-word lower bound is substantial; review borderline counts in originals.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</x:row>
    <x:row r="42" ht="24" customHeight="1">
      <x:c r="A42" s="2" t="str">
        <x:v>Participant_555060_assignsubmission_file is near the upper boundary at approximately 1,650 words (including title/headings).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24" customHeight="1">
      <x:c r="A43" s="22" t="str">
        <x:v>Formatting and evidence limits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</x:row>
    <x:row r="44" ht="24" customHeight="1">
      <x:c r="A44" s="2" t="str">
        <x:v>Scores use the repository Markdown copies. Lost italics, indents or paragraph breaks were not treated as student errors.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</x:row>
    <x:row r="45" ht="24" customHeight="1">
      <x:c r="A45" s="2" t="str">
        <x:v>C4F and layout-dependent judgements remain subject to the original files. Source authenticity was not externally audited.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 ht="24" customHeight="1">
      <x:c r="A46" s="2" t="str">
        <x:v>Reported anomalies are checks for moderation, not findings of misconduct. Similar titles or wording were not penalised.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24" customHeight="1">
      <x:c r="A47" s="2" t="str">
        <x:v>Source: HRP-Transfer-Lab/uoe-feedback, RDM/RDM_Aug_26_Case_Study; retrieved 17 September 2026.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24" customHeight="1">
      <x:c r="A48" s="2" t="str">
        <x:v>Rubric blob: 32a75e54169afce0033eea31b83d8fb4f19ea3c3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24" customHeight="1">
      <x:c r="A49" s="2" t="str">
        <x:v>The attached CLQ rubric was excluded because it assesses a different assignment.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24" customHeight="1">
      <x:c r="A50" s="22" t="str">
        <x:v>Score revisions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24" customHeight="1">
      <x:c r="A51" s="2" t="str">
        <x:v>Participant_555060_assignsubmission_file  C1E: 0.5 to 1.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 ht="24" customHeight="1">
      <x:c r="A52" s="2" t="str">
        <x:v>Participant_555060_assignsubmission_file  C4E: 0.5 to 1.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24" customHeight="1">
      <x:c r="A53" s="2" t="str">
        <x:v>Participant_555062_assignsubmission_file  C1D: 0.5 to 0.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24" customHeight="1">
      <x:c r="A54" s="2" t="str">
        <x:v>Participant_555074_assignsubmission_file  C1D: 0.5 to 1.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24" customHeight="1">
      <x:c r="A55" s="2" t="str">
        <x:v>Participant_564388_assignsubmission_file  C5C: 0.5 to 1.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24" customHeight="1">
      <x:c r="A56" s="2" t="str">
        <x:v>Participant_555070_assignsubmission_file  C4G: 1 to 0.5.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24" customHeight="1">
      <x:c r="A57" s="2" t="str">
        <x:v>Participant_555071_assignsubmission_file  C4G: 1 to 0.5.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24" customHeight="1">
      <x:c r="A58" s="2" t="str">
        <x:v>Participant_555078_assignsubmission_file  C4G: 1 to 0.5.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</x:row>
    <x:row r="59" ht="24" customHeight="1">
      <x:c r="A59" s="2" t="str">
        <x:v>Participant_555079_assignsubmission_file  C4G: 0.5 to 0.</x:v>
      </x:c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24" customHeight="1">
      <x:c r="A60" s="2" t="str">
        <x:v>Participant_564388_assignsubmission_file  C4G: 1 to 0.5.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63F5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5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Subcriterion distributions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All 17 submissions included. Standard deviations use the population denominator N.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4"/>
      <x:c r="B4" s="4"/>
      <x:c r="C4" s="4"/>
      <x:c r="D4" s="4"/>
      <x:c r="E4" s="4"/>
      <x:c r="F4" s="4"/>
      <x:c r="G4" s="4"/>
      <x:c r="H4" s="4"/>
    </x:row>
    <x:row r="5" ht="44" customHeight="1">
      <x:c r="A5" s="8" t="str">
        <x:v>Code</x:v>
      </x:c>
      <x:c r="B5" s="8" t="str">
        <x:v>Subcriterion</x:v>
      </x:c>
      <x:c r="C5" s="8" t="str">
        <x:v>N</x:v>
      </x:c>
      <x:c r="D5" s="8" t="str">
        <x:v>Scoring 0</x:v>
      </x:c>
      <x:c r="E5" s="8" t="str">
        <x:v>Scoring 0.5</x:v>
      </x:c>
      <x:c r="F5" s="8" t="str">
        <x:v>Scoring 1</x:v>
      </x:c>
      <x:c r="G5" s="8" t="str">
        <x:v>Mean (0–1)</x:v>
      </x:c>
      <x:c r="H5" s="8" t="str">
        <x:v>Population SD</x:v>
      </x:c>
    </x:row>
    <x:row r="6" ht="24" customHeight="1">
      <x:c r="A6" s="2" t="str">
        <x:v>C1A</x:v>
      </x:c>
      <x:c r="B6" s="2" t="str">
        <x:v>Critical-thinking and argumentation methods</x:v>
      </x:c>
      <x:c r="C6" s="18" t="n">
        <x:f>COUNT('Student scoring matrix'!B6:B22)</x:f>
        <x:v>17</x:v>
      </x:c>
      <x:c r="D6" s="18" t="n">
        <x:f>COUNTIFS('Student scoring matrix'!B6:B22,0)</x:f>
        <x:v>0</x:v>
      </x:c>
      <x:c r="E6" s="18" t="n">
        <x:f>COUNTIFS('Student scoring matrix'!B6:B22,0.5)</x:f>
        <x:v>6</x:v>
      </x:c>
      <x:c r="F6" s="18" t="n">
        <x:f>COUNTIFS('Student scoring matrix'!B6:B22,1)</x:f>
        <x:v>11</x:v>
      </x:c>
      <x:c r="G6" s="20" t="n">
        <x:f>AVERAGE('Student scoring matrix'!B6:B22)</x:f>
        <x:v>0.8235294117647058</x:v>
      </x:c>
      <x:c r="H6" s="20" t="n">
        <x:f>STDEV.P('Student scoring matrix'!B6:B22)</x:f>
        <x:v>0.23894230601870475</x:v>
      </x:c>
    </x:row>
    <x:row r="7" ht="24" customHeight="1">
      <x:c r="A7" s="9" t="str">
        <x:v>C1B</x:v>
      </x:c>
      <x:c r="B7" s="9" t="str">
        <x:v>Core module reading</x:v>
      </x:c>
      <x:c r="C7" s="19" t="n">
        <x:f>COUNT('Student scoring matrix'!C6:C22)</x:f>
        <x:v>17</x:v>
      </x:c>
      <x:c r="D7" s="19" t="n">
        <x:f>COUNTIFS('Student scoring matrix'!C6:C22,0)</x:f>
        <x:v>7</x:v>
      </x:c>
      <x:c r="E7" s="19" t="n">
        <x:f>COUNTIFS('Student scoring matrix'!C6:C22,0.5)</x:f>
        <x:v>1</x:v>
      </x:c>
      <x:c r="F7" s="19" t="n">
        <x:f>COUNTIFS('Student scoring matrix'!C6:C22,1)</x:f>
        <x:v>9</x:v>
      </x:c>
      <x:c r="G7" s="21" t="n">
        <x:f>AVERAGE('Student scoring matrix'!C6:C22)</x:f>
        <x:v>0.5588235294117647</x:v>
      </x:c>
      <x:c r="H7" s="21" t="n">
        <x:f>STDEV.P('Student scoring matrix'!C6:C22)</x:f>
        <x:v>0.48149133952190887</x:v>
      </x:c>
    </x:row>
    <x:row r="8" ht="24" customHeight="1">
      <x:c r="A8" s="2" t="str">
        <x:v>C1C</x:v>
      </x:c>
      <x:c r="B8" s="2" t="str">
        <x:v>Anatomy of the argument</x:v>
      </x:c>
      <x:c r="C8" s="18" t="n">
        <x:f>COUNT('Student scoring matrix'!D6:D22)</x:f>
        <x:v>17</x:v>
      </x:c>
      <x:c r="D8" s="18" t="n">
        <x:f>COUNTIFS('Student scoring matrix'!D6:D22,0)</x:f>
        <x:v>0</x:v>
      </x:c>
      <x:c r="E8" s="18" t="n">
        <x:f>COUNTIFS('Student scoring matrix'!D6:D22,0.5)</x:f>
        <x:v>6</x:v>
      </x:c>
      <x:c r="F8" s="18" t="n">
        <x:f>COUNTIFS('Student scoring matrix'!D6:D22,1)</x:f>
        <x:v>11</x:v>
      </x:c>
      <x:c r="G8" s="20" t="n">
        <x:f>AVERAGE('Student scoring matrix'!D6:D22)</x:f>
        <x:v>0.8235294117647058</x:v>
      </x:c>
      <x:c r="H8" s="20" t="n">
        <x:f>STDEV.P('Student scoring matrix'!D6:D22)</x:f>
        <x:v>0.23894230601870475</x:v>
      </x:c>
    </x:row>
    <x:row r="9" ht="24" customHeight="1">
      <x:c r="A9" s="9" t="str">
        <x:v>C1D</x:v>
      </x:c>
      <x:c r="B9" s="9" t="str">
        <x:v>Reasoning and inference</x:v>
      </x:c>
      <x:c r="C9" s="19" t="n">
        <x:f>COUNT('Student scoring matrix'!E6:E22)</x:f>
        <x:v>17</x:v>
      </x:c>
      <x:c r="D9" s="19" t="n">
        <x:f>COUNTIFS('Student scoring matrix'!E6:E22,0)</x:f>
        <x:v>13</x:v>
      </x:c>
      <x:c r="E9" s="19" t="n">
        <x:f>COUNTIFS('Student scoring matrix'!E6:E22,0.5)</x:f>
        <x:v>3</x:v>
      </x:c>
      <x:c r="F9" s="19" t="n">
        <x:f>COUNTIFS('Student scoring matrix'!E6:E22,1)</x:f>
        <x:v>1</x:v>
      </x:c>
      <x:c r="G9" s="21" t="n">
        <x:f>AVERAGE('Student scoring matrix'!E6:E22)</x:f>
        <x:v>0.14705882352941177</x:v>
      </x:c>
      <x:c r="H9" s="21" t="n">
        <x:f>STDEV.P('Student scoring matrix'!E6:E22)</x:f>
        <x:v>0.2851576386715488</x:v>
      </x:c>
    </x:row>
    <x:row r="10" ht="24" customHeight="1">
      <x:c r="A10" s="2" t="str">
        <x:v>C1E</x:v>
      </x:c>
      <x:c r="B10" s="2" t="str">
        <x:v>Definitions and conceptual accuracy</x:v>
      </x:c>
      <x:c r="C10" s="18" t="n">
        <x:f>COUNT('Student scoring matrix'!F6:F22)</x:f>
        <x:v>17</x:v>
      </x:c>
      <x:c r="D10" s="18" t="n">
        <x:f>COUNTIFS('Student scoring matrix'!F6:F22,0)</x:f>
        <x:v>0</x:v>
      </x:c>
      <x:c r="E10" s="18" t="n">
        <x:f>COUNTIFS('Student scoring matrix'!F6:F22,0.5)</x:f>
        <x:v>4</x:v>
      </x:c>
      <x:c r="F10" s="18" t="n">
        <x:f>COUNTIFS('Student scoring matrix'!F6:F22,1)</x:f>
        <x:v>13</x:v>
      </x:c>
      <x:c r="G10" s="20" t="n">
        <x:f>AVERAGE('Student scoring matrix'!F6:F22)</x:f>
        <x:v>0.8823529411764706</x:v>
      </x:c>
      <x:c r="H10" s="20" t="n">
        <x:f>STDEV.P('Student scoring matrix'!F6:F22)</x:f>
        <x:v>0.2120912514978817</x:v>
      </x:c>
    </x:row>
    <x:row r="11" ht="24" customHeight="1">
      <x:c r="A11" s="9" t="str">
        <x:v>C2A</x:v>
      </x:c>
      <x:c r="B11" s="9" t="str">
        <x:v>Coherent argument architecture</x:v>
      </x:c>
      <x:c r="C11" s="19" t="n">
        <x:f>COUNT('Student scoring matrix'!G6:G22)</x:f>
        <x:v>17</x:v>
      </x:c>
      <x:c r="D11" s="19" t="n">
        <x:f>COUNTIFS('Student scoring matrix'!G6:G22,0)</x:f>
        <x:v>0</x:v>
      </x:c>
      <x:c r="E11" s="19" t="n">
        <x:f>COUNTIFS('Student scoring matrix'!G6:G22,0.5)</x:f>
        <x:v>0</x:v>
      </x:c>
      <x:c r="F11" s="19" t="n">
        <x:f>COUNTIFS('Student scoring matrix'!G6:G22,1)</x:f>
        <x:v>17</x:v>
      </x:c>
      <x:c r="G11" s="21" t="n">
        <x:f>AVERAGE('Student scoring matrix'!G6:G22)</x:f>
        <x:v>1</x:v>
      </x:c>
      <x:c r="H11" s="21" t="n">
        <x:f>STDEV.P('Student scoring matrix'!G6:G22)</x:f>
        <x:v>0</x:v>
      </x:c>
    </x:row>
    <x:row r="12" ht="24" customHeight="1">
      <x:c r="A12" s="2" t="str">
        <x:v>C2B</x:v>
      </x:c>
      <x:c r="B12" s="2" t="str">
        <x:v>Quality and relevance of evidence</x:v>
      </x:c>
      <x:c r="C12" s="18" t="n">
        <x:f>COUNT('Student scoring matrix'!H6:H22)</x:f>
        <x:v>17</x:v>
      </x:c>
      <x:c r="D12" s="18" t="n">
        <x:f>COUNTIFS('Student scoring matrix'!H6:H22,0)</x:f>
        <x:v>0</x:v>
      </x:c>
      <x:c r="E12" s="18" t="n">
        <x:f>COUNTIFS('Student scoring matrix'!H6:H22,0.5)</x:f>
        <x:v>12</x:v>
      </x:c>
      <x:c r="F12" s="18" t="n">
        <x:f>COUNTIFS('Student scoring matrix'!H6:H22,1)</x:f>
        <x:v>5</x:v>
      </x:c>
      <x:c r="G12" s="20" t="n">
        <x:f>AVERAGE('Student scoring matrix'!H6:H22)</x:f>
        <x:v>0.6470588235294118</x:v>
      </x:c>
      <x:c r="H12" s="20" t="n">
        <x:f>STDEV.P('Student scoring matrix'!H6:H22)</x:f>
        <x:v>0.2278225497769069</x:v>
      </x:c>
    </x:row>
    <x:row r="13" ht="24" customHeight="1">
      <x:c r="A13" s="9" t="str">
        <x:v>C2C</x:v>
      </x:c>
      <x:c r="B13" s="9" t="str">
        <x:v>Evaluation of inferential strength</x:v>
      </x:c>
      <x:c r="C13" s="19" t="n">
        <x:f>COUNT('Student scoring matrix'!I6:I22)</x:f>
        <x:v>17</x:v>
      </x:c>
      <x:c r="D13" s="19" t="n">
        <x:f>COUNTIFS('Student scoring matrix'!I6:I22,0)</x:f>
        <x:v>1</x:v>
      </x:c>
      <x:c r="E13" s="19" t="n">
        <x:f>COUNTIFS('Student scoring matrix'!I6:I22,0.5)</x:f>
        <x:v>7</x:v>
      </x:c>
      <x:c r="F13" s="19" t="n">
        <x:f>COUNTIFS('Student scoring matrix'!I6:I22,1)</x:f>
        <x:v>9</x:v>
      </x:c>
      <x:c r="G13" s="21" t="n">
        <x:f>AVERAGE('Student scoring matrix'!I6:I22)</x:f>
        <x:v>0.7352941176470589</x:v>
      </x:c>
      <x:c r="H13" s="21" t="n">
        <x:f>STDEV.P('Student scoring matrix'!I6:I22)</x:f>
        <x:v>0.30281265120549994</x:v>
      </x:c>
    </x:row>
    <x:row r="14" ht="24" customHeight="1">
      <x:c r="A14" s="2" t="str">
        <x:v>C2D</x:v>
      </x:c>
      <x:c r="B14" s="2" t="str">
        <x:v>Assumptions, limitations and uncertainty</x:v>
      </x:c>
      <x:c r="C14" s="18" t="n">
        <x:f>COUNT('Student scoring matrix'!J6:J22)</x:f>
        <x:v>17</x:v>
      </x:c>
      <x:c r="D14" s="18" t="n">
        <x:f>COUNTIFS('Student scoring matrix'!J6:J22,0)</x:f>
        <x:v>0</x:v>
      </x:c>
      <x:c r="E14" s="18" t="n">
        <x:f>COUNTIFS('Student scoring matrix'!J6:J22,0.5)</x:f>
        <x:v>8</x:v>
      </x:c>
      <x:c r="F14" s="18" t="n">
        <x:f>COUNTIFS('Student scoring matrix'!J6:J22,1)</x:f>
        <x:v>9</x:v>
      </x:c>
      <x:c r="G14" s="20" t="n">
        <x:f>AVERAGE('Student scoring matrix'!J6:J22)</x:f>
        <x:v>0.7647058823529411</x:v>
      </x:c>
      <x:c r="H14" s="20" t="n">
        <x:f>STDEV.P('Student scoring matrix'!J6:J22)</x:f>
        <x:v>0.2495670992423109</x:v>
      </x:c>
    </x:row>
    <x:row r="15" ht="24" customHeight="1">
      <x:c r="A15" s="9" t="str">
        <x:v>C2E</x:v>
      </x:c>
      <x:c r="B15" s="9" t="str">
        <x:v>Counterarguments and alternative perspectives</x:v>
      </x:c>
      <x:c r="C15" s="19" t="n">
        <x:f>COUNT('Student scoring matrix'!K6:K22)</x:f>
        <x:v>17</x:v>
      </x:c>
      <x:c r="D15" s="19" t="n">
        <x:f>COUNTIFS('Student scoring matrix'!K6:K22,0)</x:f>
        <x:v>0</x:v>
      </x:c>
      <x:c r="E15" s="19" t="n">
        <x:f>COUNTIFS('Student scoring matrix'!K6:K22,0.5)</x:f>
        <x:v>7</x:v>
      </x:c>
      <x:c r="F15" s="19" t="n">
        <x:f>COUNTIFS('Student scoring matrix'!K6:K22,1)</x:f>
        <x:v>10</x:v>
      </x:c>
      <x:c r="G15" s="21" t="n">
        <x:f>AVERAGE('Student scoring matrix'!K6:K22)</x:f>
        <x:v>0.7941176470588235</x:v>
      </x:c>
      <x:c r="H15" s="21" t="n">
        <x:f>STDEV.P('Student scoring matrix'!K6:K22)</x:f>
        <x:v>0.24607647839237518</x:v>
      </x:c>
    </x:row>
    <x:row r="16" ht="24" customHeight="1">
      <x:c r="A16" s="2" t="str">
        <x:v>C2F</x:v>
      </x:c>
      <x:c r="B16" s="2" t="str">
        <x:v>Bias and fallacy control</x:v>
      </x:c>
      <x:c r="C16" s="18" t="n">
        <x:f>COUNT('Student scoring matrix'!L6:L22)</x:f>
        <x:v>17</x:v>
      </x:c>
      <x:c r="D16" s="18" t="n">
        <x:f>COUNTIFS('Student scoring matrix'!L6:L22,0)</x:f>
        <x:v>0</x:v>
      </x:c>
      <x:c r="E16" s="18" t="n">
        <x:f>COUNTIFS('Student scoring matrix'!L6:L22,0.5)</x:f>
        <x:v>5</x:v>
      </x:c>
      <x:c r="F16" s="18" t="n">
        <x:f>COUNTIFS('Student scoring matrix'!L6:L22,1)</x:f>
        <x:v>12</x:v>
      </x:c>
      <x:c r="G16" s="20" t="n">
        <x:f>AVERAGE('Student scoring matrix'!L6:L22)</x:f>
        <x:v>0.8529411764705882</x:v>
      </x:c>
      <x:c r="H16" s="20" t="n">
        <x:f>STDEV.P('Student scoring matrix'!L6:L22)</x:f>
        <x:v>0.2278225497769069</x:v>
      </x:c>
    </x:row>
    <x:row r="17" ht="24" customHeight="1">
      <x:c r="A17" s="9" t="str">
        <x:v>C3A</x:v>
      </x:c>
      <x:c r="B17" s="9" t="str">
        <x:v>Application of an argumentation method</x:v>
      </x:c>
      <x:c r="C17" s="19" t="n">
        <x:f>COUNT('Student scoring matrix'!M6:M22)</x:f>
        <x:v>17</x:v>
      </x:c>
      <x:c r="D17" s="19" t="n">
        <x:f>COUNTIFS('Student scoring matrix'!M6:M22,0)</x:f>
        <x:v>0</x:v>
      </x:c>
      <x:c r="E17" s="19" t="n">
        <x:f>COUNTIFS('Student scoring matrix'!M6:M22,0.5)</x:f>
        <x:v>6</x:v>
      </x:c>
      <x:c r="F17" s="19" t="n">
        <x:f>COUNTIFS('Student scoring matrix'!M6:M22,1)</x:f>
        <x:v>11</x:v>
      </x:c>
      <x:c r="G17" s="21" t="n">
        <x:f>AVERAGE('Student scoring matrix'!M6:M22)</x:f>
        <x:v>0.8235294117647058</x:v>
      </x:c>
      <x:c r="H17" s="21" t="n">
        <x:f>STDEV.P('Student scoring matrix'!M6:M22)</x:f>
        <x:v>0.23894230601870475</x:v>
      </x:c>
    </x:row>
    <x:row r="18" ht="24" customHeight="1">
      <x:c r="A18" s="2" t="str">
        <x:v>C3B</x:v>
      </x:c>
      <x:c r="B18" s="2" t="str">
        <x:v>Application of persuasion techniques</x:v>
      </x:c>
      <x:c r="C18" s="18" t="n">
        <x:f>COUNT('Student scoring matrix'!N6:N22)</x:f>
        <x:v>17</x:v>
      </x:c>
      <x:c r="D18" s="18" t="n">
        <x:f>COUNTIFS('Student scoring matrix'!N6:N22,0)</x:f>
        <x:v>0</x:v>
      </x:c>
      <x:c r="E18" s="18" t="n">
        <x:f>COUNTIFS('Student scoring matrix'!N6:N22,0.5)</x:f>
        <x:v>13</x:v>
      </x:c>
      <x:c r="F18" s="18" t="n">
        <x:f>COUNTIFS('Student scoring matrix'!N6:N22,1)</x:f>
        <x:v>4</x:v>
      </x:c>
      <x:c r="G18" s="20" t="n">
        <x:f>AVERAGE('Student scoring matrix'!N6:N22)</x:f>
        <x:v>0.6176470588235294</x:v>
      </x:c>
      <x:c r="H18" s="20" t="n">
        <x:f>STDEV.P('Student scoring matrix'!N6:N22)</x:f>
        <x:v>0.2120912514978817</x:v>
      </x:c>
    </x:row>
    <x:row r="19" ht="24" customHeight="1">
      <x:c r="A19" s="9" t="str">
        <x:v>C3C</x:v>
      </x:c>
      <x:c r="B19" s="9" t="str">
        <x:v>Ethical and evidence-based persuasion</x:v>
      </x:c>
      <x:c r="C19" s="19" t="n">
        <x:f>COUNT('Student scoring matrix'!O6:O22)</x:f>
        <x:v>17</x:v>
      </x:c>
      <x:c r="D19" s="19" t="n">
        <x:f>COUNTIFS('Student scoring matrix'!O6:O22,0)</x:f>
        <x:v>0</x:v>
      </x:c>
      <x:c r="E19" s="19" t="n">
        <x:f>COUNTIFS('Student scoring matrix'!O6:O22,0.5)</x:f>
        <x:v>5</x:v>
      </x:c>
      <x:c r="F19" s="19" t="n">
        <x:f>COUNTIFS('Student scoring matrix'!O6:O22,1)</x:f>
        <x:v>12</x:v>
      </x:c>
      <x:c r="G19" s="21" t="n">
        <x:f>AVERAGE('Student scoring matrix'!O6:O22)</x:f>
        <x:v>0.8529411764705882</x:v>
      </x:c>
      <x:c r="H19" s="21" t="n">
        <x:f>STDEV.P('Student scoring matrix'!O6:O22)</x:f>
        <x:v>0.2278225497769069</x:v>
      </x:c>
    </x:row>
    <x:row r="20" ht="24" customHeight="1">
      <x:c r="A20" s="2" t="str">
        <x:v>C3D</x:v>
      </x:c>
      <x:c r="B20" s="2" t="str">
        <x:v>Audience and genre adaptation</x:v>
      </x:c>
      <x:c r="C20" s="18" t="n">
        <x:f>COUNT('Student scoring matrix'!P6:P22)</x:f>
        <x:v>17</x:v>
      </x:c>
      <x:c r="D20" s="18" t="n">
        <x:f>COUNTIFS('Student scoring matrix'!P6:P22,0)</x:f>
        <x:v>0</x:v>
      </x:c>
      <x:c r="E20" s="18" t="n">
        <x:f>COUNTIFS('Student scoring matrix'!P6:P22,0.5)</x:f>
        <x:v>2</x:v>
      </x:c>
      <x:c r="F20" s="18" t="n">
        <x:f>COUNTIFS('Student scoring matrix'!P6:P22,1)</x:f>
        <x:v>15</x:v>
      </x:c>
      <x:c r="G20" s="20" t="n">
        <x:f>AVERAGE('Student scoring matrix'!P6:P22)</x:f>
        <x:v>0.9411764705882353</x:v>
      </x:c>
      <x:c r="H20" s="20" t="n">
        <x:f>STDEV.P('Student scoring matrix'!P6:P22)</x:f>
        <x:v>0.16109486985446062</x:v>
      </x:c>
    </x:row>
    <x:row r="21" ht="24" customHeight="1">
      <x:c r="A21" s="9" t="str">
        <x:v>C3E</x:v>
      </x:c>
      <x:c r="B21" s="9" t="str">
        <x:v>Gricean communication</x:v>
      </x:c>
      <x:c r="C21" s="19" t="n">
        <x:f>COUNT('Student scoring matrix'!Q6:Q22)</x:f>
        <x:v>17</x:v>
      </x:c>
      <x:c r="D21" s="19" t="n">
        <x:f>COUNTIFS('Student scoring matrix'!Q6:Q22,0)</x:f>
        <x:v>0</x:v>
      </x:c>
      <x:c r="E21" s="19" t="n">
        <x:f>COUNTIFS('Student scoring matrix'!Q6:Q22,0.5)</x:f>
        <x:v>5</x:v>
      </x:c>
      <x:c r="F21" s="19" t="n">
        <x:f>COUNTIFS('Student scoring matrix'!Q6:Q22,1)</x:f>
        <x:v>12</x:v>
      </x:c>
      <x:c r="G21" s="21" t="n">
        <x:f>AVERAGE('Student scoring matrix'!Q6:Q22)</x:f>
        <x:v>0.8529411764705882</x:v>
      </x:c>
      <x:c r="H21" s="21" t="n">
        <x:f>STDEV.P('Student scoring matrix'!Q6:Q22)</x:f>
        <x:v>0.2278225497769069</x:v>
      </x:c>
    </x:row>
    <x:row r="22" ht="24" customHeight="1">
      <x:c r="A22" s="2" t="str">
        <x:v>C4A</x:v>
      </x:c>
      <x:c r="B22" s="2" t="str">
        <x:v>Clarity and concision</x:v>
      </x:c>
      <x:c r="C22" s="18" t="n">
        <x:f>COUNT('Student scoring matrix'!R6:R22)</x:f>
        <x:v>17</x:v>
      </x:c>
      <x:c r="D22" s="18" t="n">
        <x:f>COUNTIFS('Student scoring matrix'!R6:R22,0)</x:f>
        <x:v>0</x:v>
      </x:c>
      <x:c r="E22" s="18" t="n">
        <x:f>COUNTIFS('Student scoring matrix'!R6:R22,0.5)</x:f>
        <x:v>3</x:v>
      </x:c>
      <x:c r="F22" s="18" t="n">
        <x:f>COUNTIFS('Student scoring matrix'!R6:R22,1)</x:f>
        <x:v>14</x:v>
      </x:c>
      <x:c r="G22" s="20" t="n">
        <x:f>AVERAGE('Student scoring matrix'!R6:R22)</x:f>
        <x:v>0.9117647058823529</x:v>
      </x:c>
      <x:c r="H22" s="20" t="n">
        <x:f>STDEV.P('Student scoring matrix'!R6:R22)</x:f>
        <x:v>0.19061002054140766</x:v>
      </x:c>
    </x:row>
    <x:row r="23" ht="24" customHeight="1">
      <x:c r="A23" s="9" t="str">
        <x:v>C4B</x:v>
      </x:c>
      <x:c r="B23" s="9" t="str">
        <x:v>Organisation and progression</x:v>
      </x:c>
      <x:c r="C23" s="19" t="n">
        <x:f>COUNT('Student scoring matrix'!S6:S22)</x:f>
        <x:v>17</x:v>
      </x:c>
      <x:c r="D23" s="19" t="n">
        <x:f>COUNTIFS('Student scoring matrix'!S6:S22,0)</x:f>
        <x:v>0</x:v>
      </x:c>
      <x:c r="E23" s="19" t="n">
        <x:f>COUNTIFS('Student scoring matrix'!S6:S22,0.5)</x:f>
        <x:v>0</x:v>
      </x:c>
      <x:c r="F23" s="19" t="n">
        <x:f>COUNTIFS('Student scoring matrix'!S6:S22,1)</x:f>
        <x:v>17</x:v>
      </x:c>
      <x:c r="G23" s="21" t="n">
        <x:f>AVERAGE('Student scoring matrix'!S6:S22)</x:f>
        <x:v>1</x:v>
      </x:c>
      <x:c r="H23" s="21" t="n">
        <x:f>STDEV.P('Student scoring matrix'!S6:S22)</x:f>
        <x:v>0</x:v>
      </x:c>
    </x:row>
    <x:row r="24" ht="24" customHeight="1">
      <x:c r="A24" s="2" t="str">
        <x:v>C4C</x:v>
      </x:c>
      <x:c r="B24" s="2" t="str">
        <x:v>Introduction and conclusion</x:v>
      </x:c>
      <x:c r="C24" s="18" t="n">
        <x:f>COUNT('Student scoring matrix'!T6:T22)</x:f>
        <x:v>17</x:v>
      </x:c>
      <x:c r="D24" s="18" t="n">
        <x:f>COUNTIFS('Student scoring matrix'!T6:T22,0)</x:f>
        <x:v>0</x:v>
      </x:c>
      <x:c r="E24" s="18" t="n">
        <x:f>COUNTIFS('Student scoring matrix'!T6:T22,0.5)</x:f>
        <x:v>1</x:v>
      </x:c>
      <x:c r="F24" s="18" t="n">
        <x:f>COUNTIFS('Student scoring matrix'!T6:T22,1)</x:f>
        <x:v>16</x:v>
      </x:c>
      <x:c r="G24" s="20" t="n">
        <x:f>AVERAGE('Student scoring matrix'!T6:T22)</x:f>
        <x:v>0.9705882352941176</x:v>
      </x:c>
      <x:c r="H24" s="20" t="n">
        <x:f>STDEV.P('Student scoring matrix'!T6:T22)</x:f>
        <x:v>0.11764705882352942</x:v>
      </x:c>
    </x:row>
    <x:row r="25" ht="24" customHeight="1">
      <x:c r="A25" s="9" t="str">
        <x:v>C4D</x:v>
      </x:c>
      <x:c r="B25" s="9" t="str">
        <x:v>Concrete communication</x:v>
      </x:c>
      <x:c r="C25" s="19" t="n">
        <x:f>COUNT('Student scoring matrix'!U6:U22)</x:f>
        <x:v>17</x:v>
      </x:c>
      <x:c r="D25" s="19" t="n">
        <x:f>COUNTIFS('Student scoring matrix'!U6:U22,0)</x:f>
        <x:v>0</x:v>
      </x:c>
      <x:c r="E25" s="19" t="n">
        <x:f>COUNTIFS('Student scoring matrix'!U6:U22,0.5)</x:f>
        <x:v>1</x:v>
      </x:c>
      <x:c r="F25" s="19" t="n">
        <x:f>COUNTIFS('Student scoring matrix'!U6:U22,1)</x:f>
        <x:v>16</x:v>
      </x:c>
      <x:c r="G25" s="21" t="n">
        <x:f>AVERAGE('Student scoring matrix'!U6:U22)</x:f>
        <x:v>0.9705882352941176</x:v>
      </x:c>
      <x:c r="H25" s="21" t="n">
        <x:f>STDEV.P('Student scoring matrix'!U6:U22)</x:f>
        <x:v>0.11764705882352944</x:v>
      </x:c>
    </x:row>
    <x:row r="26" ht="24" customHeight="1">
      <x:c r="A26" s="2" t="str">
        <x:v>C4E</x:v>
      </x:c>
      <x:c r="B26" s="2" t="str">
        <x:v>Accuracy of written English</x:v>
      </x:c>
      <x:c r="C26" s="18" t="n">
        <x:f>COUNT('Student scoring matrix'!V6:V22)</x:f>
        <x:v>17</x:v>
      </x:c>
      <x:c r="D26" s="18" t="n">
        <x:f>COUNTIFS('Student scoring matrix'!V6:V22,0)</x:f>
        <x:v>0</x:v>
      </x:c>
      <x:c r="E26" s="18" t="n">
        <x:f>COUNTIFS('Student scoring matrix'!V6:V22,0.5)</x:f>
        <x:v>4</x:v>
      </x:c>
      <x:c r="F26" s="18" t="n">
        <x:f>COUNTIFS('Student scoring matrix'!V6:V22,1)</x:f>
        <x:v>13</x:v>
      </x:c>
      <x:c r="G26" s="20" t="n">
        <x:f>AVERAGE('Student scoring matrix'!V6:V22)</x:f>
        <x:v>0.8823529411764706</x:v>
      </x:c>
      <x:c r="H26" s="20" t="n">
        <x:f>STDEV.P('Student scoring matrix'!V6:V22)</x:f>
        <x:v>0.2120912514978817</x:v>
      </x:c>
    </x:row>
    <x:row r="27" ht="24" customHeight="1">
      <x:c r="A27" s="9" t="str">
        <x:v>C4F</x:v>
      </x:c>
      <x:c r="B27" s="9" t="str">
        <x:v>APA 7 formatting</x:v>
      </x:c>
      <x:c r="C27" s="19" t="n">
        <x:f>COUNT('Student scoring matrix'!W6:W22)</x:f>
        <x:v>17</x:v>
      </x:c>
      <x:c r="D27" s="19" t="n">
        <x:f>COUNTIFS('Student scoring matrix'!W6:W22,0)</x:f>
        <x:v>0</x:v>
      </x:c>
      <x:c r="E27" s="19" t="n">
        <x:f>COUNTIFS('Student scoring matrix'!W6:W22,0.5)</x:f>
        <x:v>9</x:v>
      </x:c>
      <x:c r="F27" s="19" t="n">
        <x:f>COUNTIFS('Student scoring matrix'!W6:W22,1)</x:f>
        <x:v>8</x:v>
      </x:c>
      <x:c r="G27" s="21" t="n">
        <x:f>AVERAGE('Student scoring matrix'!W6:W22)</x:f>
        <x:v>0.7352941176470589</x:v>
      </x:c>
      <x:c r="H27" s="21" t="n">
        <x:f>STDEV.P('Student scoring matrix'!W6:W22)</x:f>
        <x:v>0.2495670992423109</x:v>
      </x:c>
    </x:row>
    <x:row r="28" ht="24" customHeight="1">
      <x:c r="A28" s="2" t="str">
        <x:v>C4G</x:v>
      </x:c>
      <x:c r="B28" s="2" t="str">
        <x:v>Required structure and word limit</x:v>
      </x:c>
      <x:c r="C28" s="18" t="n">
        <x:f>COUNT('Student scoring matrix'!X6:X22)</x:f>
        <x:v>17</x:v>
      </x:c>
      <x:c r="D28" s="18" t="n">
        <x:f>COUNTIFS('Student scoring matrix'!X6:X22,0)</x:f>
        <x:v>2</x:v>
      </x:c>
      <x:c r="E28" s="18" t="n">
        <x:f>COUNTIFS('Student scoring matrix'!X6:X22,0.5)</x:f>
        <x:v>4</x:v>
      </x:c>
      <x:c r="F28" s="18" t="n">
        <x:f>COUNTIFS('Student scoring matrix'!X6:X22,1)</x:f>
        <x:v>11</x:v>
      </x:c>
      <x:c r="G28" s="20" t="n">
        <x:f>AVERAGE('Student scoring matrix'!X6:X22)</x:f>
        <x:v>0.7647058823529411</x:v>
      </x:c>
      <x:c r="H28" s="20" t="n">
        <x:f>STDEV.P('Student scoring matrix'!X6:X22)</x:f>
        <x:v>0.3480046931235068</x:v>
      </x:c>
    </x:row>
    <x:row r="29" ht="24" customHeight="1">
      <x:c r="A29" s="9" t="str">
        <x:v>C5A</x:v>
      </x:c>
      <x:c r="B29" s="9" t="str">
        <x:v>Range and relevance of reading</x:v>
      </x:c>
      <x:c r="C29" s="19" t="n">
        <x:f>COUNT('Student scoring matrix'!Y6:Y22)</x:f>
        <x:v>17</x:v>
      </x:c>
      <x:c r="D29" s="19" t="n">
        <x:f>COUNTIFS('Student scoring matrix'!Y6:Y22,0)</x:f>
        <x:v>3</x:v>
      </x:c>
      <x:c r="E29" s="19" t="n">
        <x:f>COUNTIFS('Student scoring matrix'!Y6:Y22,0.5)</x:f>
        <x:v>9</x:v>
      </x:c>
      <x:c r="F29" s="19" t="n">
        <x:f>COUNTIFS('Student scoring matrix'!Y6:Y22,1)</x:f>
        <x:v>5</x:v>
      </x:c>
      <x:c r="G29" s="21" t="n">
        <x:f>AVERAGE('Student scoring matrix'!Y6:Y22)</x:f>
        <x:v>0.5588235294117647</x:v>
      </x:c>
      <x:c r="H29" s="21" t="n">
        <x:f>STDEV.P('Student scoring matrix'!Y6:Y22)</x:f>
        <x:v>0.3379154497963547</x:v>
      </x:c>
    </x:row>
    <x:row r="30" ht="24" customHeight="1">
      <x:c r="A30" s="2" t="str">
        <x:v>C5B</x:v>
      </x:c>
      <x:c r="B30" s="2" t="str">
        <x:v>Academic quality of sources</x:v>
      </x:c>
      <x:c r="C30" s="18" t="n">
        <x:f>COUNT('Student scoring matrix'!Z6:Z22)</x:f>
        <x:v>17</x:v>
      </x:c>
      <x:c r="D30" s="18" t="n">
        <x:f>COUNTIFS('Student scoring matrix'!Z6:Z22,0)</x:f>
        <x:v>0</x:v>
      </x:c>
      <x:c r="E30" s="18" t="n">
        <x:f>COUNTIFS('Student scoring matrix'!Z6:Z22,0.5)</x:f>
        <x:v>1</x:v>
      </x:c>
      <x:c r="F30" s="18" t="n">
        <x:f>COUNTIFS('Student scoring matrix'!Z6:Z22,1)</x:f>
        <x:v>16</x:v>
      </x:c>
      <x:c r="G30" s="20" t="n">
        <x:f>AVERAGE('Student scoring matrix'!Z6:Z22)</x:f>
        <x:v>0.9705882352941176</x:v>
      </x:c>
      <x:c r="H30" s="20" t="n">
        <x:f>STDEV.P('Student scoring matrix'!Z6:Z22)</x:f>
        <x:v>0.11764705882352944</x:v>
      </x:c>
    </x:row>
    <x:row r="31" ht="24" customHeight="1">
      <x:c r="A31" s="9" t="str">
        <x:v>C5C</x:v>
      </x:c>
      <x:c r="B31" s="9" t="str">
        <x:v>Balance of recent and foundational research</x:v>
      </x:c>
      <x:c r="C31" s="19" t="n">
        <x:f>COUNT('Student scoring matrix'!AA6:AA22)</x:f>
        <x:v>17</x:v>
      </x:c>
      <x:c r="D31" s="19" t="n">
        <x:f>COUNTIFS('Student scoring matrix'!AA6:AA22,0)</x:f>
        <x:v>1</x:v>
      </x:c>
      <x:c r="E31" s="19" t="n">
        <x:f>COUNTIFS('Student scoring matrix'!AA6:AA22,0.5)</x:f>
        <x:v>1</x:v>
      </x:c>
      <x:c r="F31" s="19" t="n">
        <x:f>COUNTIFS('Student scoring matrix'!AA6:AA22,1)</x:f>
        <x:v>15</x:v>
      </x:c>
      <x:c r="G31" s="21" t="n">
        <x:f>AVERAGE('Student scoring matrix'!AA6:AA22)</x:f>
        <x:v>0.9117647058823529</x:v>
      </x:c>
      <x:c r="H31" s="21" t="n">
        <x:f>STDEV.P('Student scoring matrix'!AA6:AA22)</x:f>
        <x:v>0.25640582020827496</x:v>
      </x:c>
    </x:row>
    <x:row r="32" ht="24" customHeight="1">
      <x:c r="A32" s="2" t="str">
        <x:v>C5D</x:v>
      </x:c>
      <x:c r="B32" s="2" t="str">
        <x:v>Use of primary and secondary evidence</x:v>
      </x:c>
      <x:c r="C32" s="18" t="n">
        <x:f>COUNT('Student scoring matrix'!AB6:AB22)</x:f>
        <x:v>17</x:v>
      </x:c>
      <x:c r="D32" s="18" t="n">
        <x:f>COUNTIFS('Student scoring matrix'!AB6:AB22,0)</x:f>
        <x:v>5</x:v>
      </x:c>
      <x:c r="E32" s="18" t="n">
        <x:f>COUNTIFS('Student scoring matrix'!AB6:AB22,0.5)</x:f>
        <x:v>5</x:v>
      </x:c>
      <x:c r="F32" s="18" t="n">
        <x:f>COUNTIFS('Student scoring matrix'!AB6:AB22,1)</x:f>
        <x:v>7</x:v>
      </x:c>
      <x:c r="G32" s="20" t="n">
        <x:f>AVERAGE('Student scoring matrix'!AB6:AB22)</x:f>
        <x:v>0.5588235294117647</x:v>
      </x:c>
      <x:c r="H32" s="20" t="n">
        <x:f>STDEV.P('Student scoring matrix'!AB6:AB22)</x:f>
        <x:v>0.4159451654038515</x:v>
      </x:c>
    </x:row>
    <x:row r="33" ht="24" customHeight="1">
      <x:c r="A33" s="9" t="str">
        <x:v>C5E</x:v>
      </x:c>
      <x:c r="B33" s="9" t="str">
        <x:v>Use of evidence synthesis</x:v>
      </x:c>
      <x:c r="C33" s="19" t="n">
        <x:f>COUNT('Student scoring matrix'!AC6:AC22)</x:f>
        <x:v>17</x:v>
      </x:c>
      <x:c r="D33" s="19" t="n">
        <x:f>COUNTIFS('Student scoring matrix'!AC6:AC22,0)</x:f>
        <x:v>1</x:v>
      </x:c>
      <x:c r="E33" s="19" t="n">
        <x:f>COUNTIFS('Student scoring matrix'!AC6:AC22,0.5)</x:f>
        <x:v>0</x:v>
      </x:c>
      <x:c r="F33" s="19" t="n">
        <x:f>COUNTIFS('Student scoring matrix'!AC6:AC22,1)</x:f>
        <x:v>16</x:v>
      </x:c>
      <x:c r="G33" s="21" t="n">
        <x:f>AVERAGE('Student scoring matrix'!AC6:AC22)</x:f>
        <x:v>0.9411764705882353</x:v>
      </x:c>
      <x:c r="H33" s="21" t="n">
        <x:f>STDEV.P('Student scoring matrix'!AC6:AC22)</x:f>
        <x:v>0.23529411764705888</x:v>
      </x:c>
    </x:row>
    <x:row r="34" ht="24" customHeight="1">
      <x:c r="A34" s="2" t="str">
        <x:v>C5F</x:v>
      </x:c>
      <x:c r="B34" s="2" t="str">
        <x:v>Integration of sources</x:v>
      </x:c>
      <x:c r="C34" s="18" t="n">
        <x:f>COUNT('Student scoring matrix'!AD6:AD22)</x:f>
        <x:v>17</x:v>
      </x:c>
      <x:c r="D34" s="18" t="n">
        <x:f>COUNTIFS('Student scoring matrix'!AD6:AD22,0)</x:f>
        <x:v>0</x:v>
      </x:c>
      <x:c r="E34" s="18" t="n">
        <x:f>COUNTIFS('Student scoring matrix'!AD6:AD22,0.5)</x:f>
        <x:v>9</x:v>
      </x:c>
      <x:c r="F34" s="18" t="n">
        <x:f>COUNTIFS('Student scoring matrix'!AD6:AD22,1)</x:f>
        <x:v>8</x:v>
      </x:c>
      <x:c r="G34" s="20" t="n">
        <x:f>AVERAGE('Student scoring matrix'!AD6:AD22)</x:f>
        <x:v>0.7352941176470589</x:v>
      </x:c>
      <x:c r="H34" s="20" t="n">
        <x:f>STDEV.P('Student scoring matrix'!AD6:AD22)</x:f>
        <x:v>0.2495670992423109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63F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7.5" hidden="0" customWidth="1"/>
    <x:col min="3" max="3" width="7.5" hidden="0" customWidth="1"/>
    <x:col min="4" max="4" width="7.5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7.5" hidden="0" customWidth="1"/>
    <x:col min="10" max="10" width="7.5" hidden="0" customWidth="1"/>
    <x:col min="11" max="11" width="7.5" hidden="0" customWidth="1"/>
    <x:col min="12" max="12" width="7.5" hidden="0" customWidth="1"/>
    <x:col min="13" max="13" width="7.5" hidden="0" customWidth="1"/>
    <x:col min="14" max="14" width="7.5" hidden="0" customWidth="1"/>
    <x:col min="15" max="15" width="7.5" hidden="0" customWidth="1"/>
    <x:col min="16" max="16" width="7.5" hidden="0" customWidth="1"/>
    <x:col min="17" max="17" width="7.5" hidden="0" customWidth="1"/>
    <x:col min="18" max="18" width="7.5" hidden="0" customWidth="1"/>
    <x:col min="19" max="19" width="7.5" hidden="0" customWidth="1"/>
    <x:col min="20" max="20" width="7.5" hidden="0" customWidth="1"/>
    <x:col min="21" max="21" width="7.5" hidden="0" customWidth="1"/>
    <x:col min="22" max="22" width="7.5" hidden="0" customWidth="1"/>
    <x:col min="23" max="23" width="7.5" hidden="0" customWidth="1"/>
    <x:col min="24" max="24" width="7.5" hidden="0" customWidth="1"/>
    <x:col min="25" max="25" width="7.5" hidden="0" customWidth="1"/>
    <x:col min="26" max="26" width="7.5" hidden="0" customWidth="1"/>
    <x:col min="27" max="27" width="7.5" hidden="0" customWidth="1"/>
    <x:col min="28" max="28" width="7.5" hidden="0" customWidth="1"/>
    <x:col min="29" max="29" width="7.5" hidden="0" customWidth="1"/>
    <x:col min="30" max="30" width="7.5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3" hidden="0" customWidth="1"/>
    <x:col min="42" max="42" width="100" hidden="0" customWidth="1"/>
    <x:col min="43" max="43" width="4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</x:row>
    <x:row r="2" ht="24" customHeight="1">
      <x:c r="A2" s="3" t="str">
        <x:v>Student scoring matrix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24" customHeight="1">
      <x:c r="A3" s="2" t="str">
        <x:v>Stage 1 calibrated scores: 0 absent, 0.5 partial, 1 fully demonstrated. Criterion means are on a 0–1 scale.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</x:row>
    <x:row r="4" ht="24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</x:row>
    <x:row r="5" ht="44" customHeight="1">
      <x:c r="A5" s="8" t="str">
        <x:v>Participant ID</x:v>
      </x:c>
      <x:c r="B5" s="8" t="str">
        <x:v>C1A</x:v>
      </x:c>
      <x:c r="C5" s="8" t="str">
        <x:v>C1B</x:v>
      </x:c>
      <x:c r="D5" s="8" t="str">
        <x:v>C1C</x:v>
      </x:c>
      <x:c r="E5" s="8" t="str">
        <x:v>C1D</x:v>
      </x:c>
      <x:c r="F5" s="8" t="str">
        <x:v>C1E</x:v>
      </x:c>
      <x:c r="G5" s="8" t="str">
        <x:v>C2A</x:v>
      </x:c>
      <x:c r="H5" s="8" t="str">
        <x:v>C2B</x:v>
      </x:c>
      <x:c r="I5" s="8" t="str">
        <x:v>C2C</x:v>
      </x:c>
      <x:c r="J5" s="8" t="str">
        <x:v>C2D</x:v>
      </x:c>
      <x:c r="K5" s="8" t="str">
        <x:v>C2E</x:v>
      </x:c>
      <x:c r="L5" s="8" t="str">
        <x:v>C2F</x:v>
      </x:c>
      <x:c r="M5" s="8" t="str">
        <x:v>C3A</x:v>
      </x:c>
      <x:c r="N5" s="8" t="str">
        <x:v>C3B</x:v>
      </x:c>
      <x:c r="O5" s="8" t="str">
        <x:v>C3C</x:v>
      </x:c>
      <x:c r="P5" s="8" t="str">
        <x:v>C3D</x:v>
      </x:c>
      <x:c r="Q5" s="8" t="str">
        <x:v>C3E</x:v>
      </x:c>
      <x:c r="R5" s="8" t="str">
        <x:v>C4A</x:v>
      </x:c>
      <x:c r="S5" s="8" t="str">
        <x:v>C4B</x:v>
      </x:c>
      <x:c r="T5" s="8" t="str">
        <x:v>C4C</x:v>
      </x:c>
      <x:c r="U5" s="8" t="str">
        <x:v>C4D</x:v>
      </x:c>
      <x:c r="V5" s="8" t="str">
        <x:v>C4E</x:v>
      </x:c>
      <x:c r="W5" s="8" t="str">
        <x:v>C4F</x:v>
      </x:c>
      <x:c r="X5" s="8" t="str">
        <x:v>C4G</x:v>
      </x:c>
      <x:c r="Y5" s="8" t="str">
        <x:v>C5A</x:v>
      </x:c>
      <x:c r="Z5" s="8" t="str">
        <x:v>C5B</x:v>
      </x:c>
      <x:c r="AA5" s="8" t="str">
        <x:v>C5C</x:v>
      </x:c>
      <x:c r="AB5" s="8" t="str">
        <x:v>C5D</x:v>
      </x:c>
      <x:c r="AC5" s="8" t="str">
        <x:v>C5E</x:v>
      </x:c>
      <x:c r="AD5" s="8" t="str">
        <x:v>C5F</x:v>
      </x:c>
      <x:c r="AE5" s="8" t="str">
        <x:v>C1 raw total (max 5)</x:v>
      </x:c>
      <x:c r="AF5" s="8" t="str">
        <x:v>C1 mean (0–1)</x:v>
      </x:c>
      <x:c r="AG5" s="8" t="str">
        <x:v>C2 raw total (max 6)</x:v>
      </x:c>
      <x:c r="AH5" s="8" t="str">
        <x:v>C2 mean (0–1)</x:v>
      </x:c>
      <x:c r="AI5" s="8" t="str">
        <x:v>C3 raw total (max 5)</x:v>
      </x:c>
      <x:c r="AJ5" s="8" t="str">
        <x:v>C3 mean (0–1)</x:v>
      </x:c>
      <x:c r="AK5" s="8" t="str">
        <x:v>C4 raw total (max 7)</x:v>
      </x:c>
      <x:c r="AL5" s="8" t="str">
        <x:v>C4 mean (0–1)</x:v>
      </x:c>
      <x:c r="AM5" s="8" t="str">
        <x:v>C5 raw total (max 6)</x:v>
      </x:c>
      <x:c r="AN5" s="8" t="str">
        <x:v>C5 mean (0–1)</x:v>
      </x:c>
      <x:c r="AO5" s="2"/>
      <x:c r="AP5" s="8" t="str">
        <x:v>Repository submission path</x:v>
      </x:c>
      <x:c r="AQ5" s="8" t="str">
        <x:v>Source blob SHA</x:v>
      </x:c>
    </x:row>
    <x:row r="6" ht="24" customHeight="1">
      <x:c r="A6" s="2" t="str">
        <x:v>Participant_555059_assignsubmission_file</x:v>
      </x:c>
      <x:c r="B6" s="12" t="n">
        <x:v>1</x:v>
      </x:c>
      <x:c r="C6" s="12" t="n">
        <x:v>1</x:v>
      </x:c>
      <x:c r="D6" s="12" t="n">
        <x:v>1</x:v>
      </x:c>
      <x:c r="E6" s="12" t="n">
        <x:v>0</x:v>
      </x:c>
      <x:c r="F6" s="12" t="n">
        <x:v>1</x:v>
      </x:c>
      <x:c r="G6" s="12" t="n">
        <x:v>1</x:v>
      </x:c>
      <x:c r="H6" s="12" t="n">
        <x:v>1</x:v>
      </x:c>
      <x:c r="I6" s="12" t="n">
        <x:v>1</x:v>
      </x:c>
      <x:c r="J6" s="12" t="n">
        <x:v>1</x:v>
      </x:c>
      <x:c r="K6" s="12" t="n">
        <x:v>1</x:v>
      </x:c>
      <x:c r="L6" s="12" t="n">
        <x:v>1</x:v>
      </x:c>
      <x:c r="M6" s="12" t="n">
        <x:v>1</x:v>
      </x:c>
      <x:c r="N6" s="12" t="n">
        <x:v>1</x:v>
      </x:c>
      <x:c r="O6" s="12" t="n">
        <x:v>1</x:v>
      </x:c>
      <x:c r="P6" s="12" t="n">
        <x:v>1</x:v>
      </x:c>
      <x:c r="Q6" s="12" t="n">
        <x:v>1</x:v>
      </x:c>
      <x:c r="R6" s="12" t="n">
        <x:v>1</x:v>
      </x:c>
      <x:c r="S6" s="12" t="n">
        <x:v>1</x:v>
      </x:c>
      <x:c r="T6" s="12" t="n">
        <x:v>1</x:v>
      </x:c>
      <x:c r="U6" s="12" t="n">
        <x:v>1</x:v>
      </x:c>
      <x:c r="V6" s="12" t="n">
        <x:v>1</x:v>
      </x:c>
      <x:c r="W6" s="12" t="n">
        <x:v>1</x:v>
      </x:c>
      <x:c r="X6" s="12" t="n">
        <x:v>1</x:v>
      </x:c>
      <x:c r="Y6" s="12" t="n">
        <x:v>1</x:v>
      </x:c>
      <x:c r="Z6" s="12" t="n">
        <x:v>1</x:v>
      </x:c>
      <x:c r="AA6" s="12" t="n">
        <x:v>1</x:v>
      </x:c>
      <x:c r="AB6" s="12" t="n">
        <x:v>1</x:v>
      </x:c>
      <x:c r="AC6" s="12" t="n">
        <x:v>1</x:v>
      </x:c>
      <x:c r="AD6" s="12" t="n">
        <x:v>1</x:v>
      </x:c>
      <x:c r="AE6" s="12" t="n">
        <x:f>SUM(B6:F6)</x:f>
        <x:v>4</x:v>
      </x:c>
      <x:c r="AF6" s="16" t="n">
        <x:f>AE6/5</x:f>
        <x:v>0.8</x:v>
      </x:c>
      <x:c r="AG6" s="12" t="n">
        <x:f>SUM(G6:L6)</x:f>
        <x:v>6</x:v>
      </x:c>
      <x:c r="AH6" s="16" t="n">
        <x:f>AG6/6</x:f>
        <x:v>1</x:v>
      </x:c>
      <x:c r="AI6" s="12" t="n">
        <x:f>SUM(M6:Q6)</x:f>
        <x:v>5</x:v>
      </x:c>
      <x:c r="AJ6" s="16" t="n">
        <x:f>AI6/5</x:f>
        <x:v>1</x:v>
      </x:c>
      <x:c r="AK6" s="12" t="n">
        <x:f>SUM(R6:X6)</x:f>
        <x:v>7</x:v>
      </x:c>
      <x:c r="AL6" s="16" t="n">
        <x:f>AK6/7</x:f>
        <x:v>1</x:v>
      </x:c>
      <x:c r="AM6" s="12" t="n">
        <x:f>SUM(Y6:AD6)</x:f>
        <x:v>6</x:v>
      </x:c>
      <x:c r="AN6" s="16" t="n">
        <x:f>AM6/6</x:f>
        <x:v>1</x:v>
      </x:c>
      <x:c r="AO6" s="2"/>
      <x:c r="AP6" s="2" t="str">
        <x:v>RDM/RDM_Aug_26_Case_Study/Participant_555059_assignsubmission_file/blog post.md</x:v>
      </x:c>
      <x:c r="AQ6" s="2" t="str">
        <x:v>fd1b5a5153ec162fae5bd4e1a5a8c13d15275401</x:v>
      </x:c>
    </x:row>
    <x:row r="7" ht="24" customHeight="1">
      <x:c r="A7" s="9" t="str">
        <x:v>Participant_555060_assignsubmission_file</x:v>
      </x:c>
      <x:c r="B7" s="14" t="n">
        <x:v>0.5</x:v>
      </x:c>
      <x:c r="C7" s="14" t="n">
        <x:v>0</x:v>
      </x:c>
      <x:c r="D7" s="14" t="n">
        <x:v>0.5</x:v>
      </x:c>
      <x:c r="E7" s="14" t="n">
        <x:v>0</x:v>
      </x:c>
      <x:c r="F7" s="14" t="n">
        <x:v>1</x:v>
      </x:c>
      <x:c r="G7" s="14" t="n">
        <x:v>1</x:v>
      </x:c>
      <x:c r="H7" s="14" t="n">
        <x:v>0.5</x:v>
      </x:c>
      <x:c r="I7" s="14" t="n">
        <x:v>0.5</x:v>
      </x:c>
      <x:c r="J7" s="14" t="n">
        <x:v>0.5</x:v>
      </x:c>
      <x:c r="K7" s="14" t="n">
        <x:v>1</x:v>
      </x:c>
      <x:c r="L7" s="14" t="n">
        <x:v>1</x:v>
      </x:c>
      <x:c r="M7" s="14" t="n">
        <x:v>0.5</x:v>
      </x:c>
      <x:c r="N7" s="14" t="n">
        <x:v>0.5</x:v>
      </x:c>
      <x:c r="O7" s="14" t="n">
        <x:v>1</x:v>
      </x:c>
      <x:c r="P7" s="14" t="n">
        <x:v>1</x:v>
      </x:c>
      <x:c r="Q7" s="14" t="n">
        <x:v>1</x:v>
      </x:c>
      <x:c r="R7" s="14" t="n">
        <x:v>1</x:v>
      </x:c>
      <x:c r="S7" s="14" t="n">
        <x:v>1</x:v>
      </x:c>
      <x:c r="T7" s="14" t="n">
        <x:v>1</x:v>
      </x:c>
      <x:c r="U7" s="14" t="n">
        <x:v>1</x:v>
      </x:c>
      <x:c r="V7" s="14" t="n">
        <x:v>1</x:v>
      </x:c>
      <x:c r="W7" s="14" t="n">
        <x:v>1</x:v>
      </x:c>
      <x:c r="X7" s="14" t="n">
        <x:v>1</x:v>
      </x:c>
      <x:c r="Y7" s="14" t="n">
        <x:v>0</x:v>
      </x:c>
      <x:c r="Z7" s="14" t="n">
        <x:v>1</x:v>
      </x:c>
      <x:c r="AA7" s="14" t="n">
        <x:v>0.5</x:v>
      </x:c>
      <x:c r="AB7" s="14" t="n">
        <x:v>0</x:v>
      </x:c>
      <x:c r="AC7" s="14" t="n">
        <x:v>1</x:v>
      </x:c>
      <x:c r="AD7" s="14" t="n">
        <x:v>0.5</x:v>
      </x:c>
      <x:c r="AE7" s="14" t="n">
        <x:f>SUM(B7:F7)</x:f>
        <x:v>2</x:v>
      </x:c>
      <x:c r="AF7" s="17" t="n">
        <x:f>AE7/5</x:f>
        <x:v>0.4</x:v>
      </x:c>
      <x:c r="AG7" s="14" t="n">
        <x:f>SUM(G7:L7)</x:f>
        <x:v>4.5</x:v>
      </x:c>
      <x:c r="AH7" s="17" t="n">
        <x:f>AG7/6</x:f>
        <x:v>0.75</x:v>
      </x:c>
      <x:c r="AI7" s="14" t="n">
        <x:f>SUM(M7:Q7)</x:f>
        <x:v>4</x:v>
      </x:c>
      <x:c r="AJ7" s="17" t="n">
        <x:f>AI7/5</x:f>
        <x:v>0.8</x:v>
      </x:c>
      <x:c r="AK7" s="14" t="n">
        <x:f>SUM(R7:X7)</x:f>
        <x:v>7</x:v>
      </x:c>
      <x:c r="AL7" s="17" t="n">
        <x:f>AK7/7</x:f>
        <x:v>1</x:v>
      </x:c>
      <x:c r="AM7" s="14" t="n">
        <x:f>SUM(Y7:AD7)</x:f>
        <x:v>3</x:v>
      </x:c>
      <x:c r="AN7" s="17" t="n">
        <x:f>AM7/6</x:f>
        <x:v>0.5</x:v>
      </x:c>
      <x:c r="AO7" s="2"/>
      <x:c r="AP7" s="2" t="str">
        <x:v>RDM/RDM_Aug_26_Case_Study/Participant_555060_assignsubmission_file/Unit 6 essay Rev.md</x:v>
      </x:c>
      <x:c r="AQ7" s="2" t="str">
        <x:v>35e833fec71aedef1c7def2908626bf4f4e1c8e4</x:v>
      </x:c>
    </x:row>
    <x:row r="8" ht="24" customHeight="1">
      <x:c r="A8" s="2" t="str">
        <x:v>Participant_555062_assignsubmission_file</x:v>
      </x:c>
      <x:c r="B8" s="12" t="n">
        <x:v>0.5</x:v>
      </x:c>
      <x:c r="C8" s="12" t="n">
        <x:v>1</x:v>
      </x:c>
      <x:c r="D8" s="12" t="n">
        <x:v>1</x:v>
      </x:c>
      <x:c r="E8" s="12" t="n">
        <x:v>0</x:v>
      </x:c>
      <x:c r="F8" s="12" t="n">
        <x:v>1</x:v>
      </x:c>
      <x:c r="G8" s="12" t="n">
        <x:v>1</x:v>
      </x:c>
      <x:c r="H8" s="12" t="n">
        <x:v>0.5</x:v>
      </x:c>
      <x:c r="I8" s="12" t="n">
        <x:v>1</x:v>
      </x:c>
      <x:c r="J8" s="12" t="n">
        <x:v>1</x:v>
      </x:c>
      <x:c r="K8" s="12" t="n">
        <x:v>1</x:v>
      </x:c>
      <x:c r="L8" s="12" t="n">
        <x:v>1</x:v>
      </x:c>
      <x:c r="M8" s="12" t="n">
        <x:v>1</x:v>
      </x:c>
      <x:c r="N8" s="12" t="n">
        <x:v>1</x:v>
      </x:c>
      <x:c r="O8" s="12" t="n">
        <x:v>1</x:v>
      </x:c>
      <x:c r="P8" s="12" t="n">
        <x:v>1</x:v>
      </x:c>
      <x:c r="Q8" s="12" t="n">
        <x:v>1</x:v>
      </x:c>
      <x:c r="R8" s="12" t="n">
        <x:v>1</x:v>
      </x:c>
      <x:c r="S8" s="12" t="n">
        <x:v>1</x:v>
      </x:c>
      <x:c r="T8" s="12" t="n">
        <x:v>1</x:v>
      </x:c>
      <x:c r="U8" s="12" t="n">
        <x:v>1</x:v>
      </x:c>
      <x:c r="V8" s="12" t="n">
        <x:v>1</x:v>
      </x:c>
      <x:c r="W8" s="12" t="n">
        <x:v>0.5</x:v>
      </x:c>
      <x:c r="X8" s="12" t="n">
        <x:v>1</x:v>
      </x:c>
      <x:c r="Y8" s="12" t="n">
        <x:v>1</x:v>
      </x:c>
      <x:c r="Z8" s="12" t="n">
        <x:v>1</x:v>
      </x:c>
      <x:c r="AA8" s="12" t="n">
        <x:v>1</x:v>
      </x:c>
      <x:c r="AB8" s="12" t="n">
        <x:v>1</x:v>
      </x:c>
      <x:c r="AC8" s="12" t="n">
        <x:v>1</x:v>
      </x:c>
      <x:c r="AD8" s="12" t="n">
        <x:v>1</x:v>
      </x:c>
      <x:c r="AE8" s="12" t="n">
        <x:f>SUM(B8:F8)</x:f>
        <x:v>3.5</x:v>
      </x:c>
      <x:c r="AF8" s="16" t="n">
        <x:f>AE8/5</x:f>
        <x:v>0.7</x:v>
      </x:c>
      <x:c r="AG8" s="12" t="n">
        <x:f>SUM(G8:L8)</x:f>
        <x:v>5.5</x:v>
      </x:c>
      <x:c r="AH8" s="16" t="n">
        <x:f>AG8/6</x:f>
        <x:v>0.9166666666666666</x:v>
      </x:c>
      <x:c r="AI8" s="12" t="n">
        <x:f>SUM(M8:Q8)</x:f>
        <x:v>5</x:v>
      </x:c>
      <x:c r="AJ8" s="16" t="n">
        <x:f>AI8/5</x:f>
        <x:v>1</x:v>
      </x:c>
      <x:c r="AK8" s="12" t="n">
        <x:f>SUM(R8:X8)</x:f>
        <x:v>6.5</x:v>
      </x:c>
      <x:c r="AL8" s="16" t="n">
        <x:f>AK8/7</x:f>
        <x:v>0.9285714285714286</x:v>
      </x:c>
      <x:c r="AM8" s="12" t="n">
        <x:f>SUM(Y8:AD8)</x:f>
        <x:v>6</x:v>
      </x:c>
      <x:c r="AN8" s="16" t="n">
        <x:f>AM8/6</x:f>
        <x:v>1</x:v>
      </x:c>
      <x:c r="AO8" s="2"/>
      <x:c r="AP8" s="2" t="str">
        <x:v>RDM/RDM_Aug_26_Case_Study/Participant_555062_assignsubmission_file/Online vs Traditional Education.md</x:v>
      </x:c>
      <x:c r="AQ8" s="2" t="str">
        <x:v>8b668c9c330a5ad5f5fccb8ec36c0ed190024f12</x:v>
      </x:c>
    </x:row>
    <x:row r="9" ht="24" customHeight="1">
      <x:c r="A9" s="9" t="str">
        <x:v>Participant_555064_assignsubmission_file</x:v>
      </x:c>
      <x:c r="B9" s="14" t="n">
        <x:v>1</x:v>
      </x:c>
      <x:c r="C9" s="14" t="n">
        <x:v>1</x:v>
      </x:c>
      <x:c r="D9" s="14" t="n">
        <x:v>1</x:v>
      </x:c>
      <x:c r="E9" s="14" t="n">
        <x:v>0</x:v>
      </x:c>
      <x:c r="F9" s="14" t="n">
        <x:v>1</x:v>
      </x:c>
      <x:c r="G9" s="14" t="n">
        <x:v>1</x:v>
      </x:c>
      <x:c r="H9" s="14" t="n">
        <x:v>1</x:v>
      </x:c>
      <x:c r="I9" s="14" t="n">
        <x:v>1</x:v>
      </x:c>
      <x:c r="J9" s="14" t="n">
        <x:v>1</x:v>
      </x:c>
      <x:c r="K9" s="14" t="n">
        <x:v>1</x:v>
      </x:c>
      <x:c r="L9" s="14" t="n">
        <x:v>1</x:v>
      </x:c>
      <x:c r="M9" s="14" t="n">
        <x:v>1</x:v>
      </x:c>
      <x:c r="N9" s="14" t="n">
        <x:v>0.5</x:v>
      </x:c>
      <x:c r="O9" s="14" t="n">
        <x:v>1</x:v>
      </x:c>
      <x:c r="P9" s="14" t="n">
        <x:v>1</x:v>
      </x:c>
      <x:c r="Q9" s="14" t="n">
        <x:v>1</x:v>
      </x:c>
      <x:c r="R9" s="14" t="n">
        <x:v>1</x:v>
      </x:c>
      <x:c r="S9" s="14" t="n">
        <x:v>1</x:v>
      </x:c>
      <x:c r="T9" s="14" t="n">
        <x:v>1</x:v>
      </x:c>
      <x:c r="U9" s="14" t="n">
        <x:v>1</x:v>
      </x:c>
      <x:c r="V9" s="14" t="n">
        <x:v>1</x:v>
      </x:c>
      <x:c r="W9" s="14" t="n">
        <x:v>1</x:v>
      </x:c>
      <x:c r="X9" s="14" t="n">
        <x:v>1</x:v>
      </x:c>
      <x:c r="Y9" s="14" t="n">
        <x:v>0.5</x:v>
      </x:c>
      <x:c r="Z9" s="14" t="n">
        <x:v>1</x:v>
      </x:c>
      <x:c r="AA9" s="14" t="n">
        <x:v>1</x:v>
      </x:c>
      <x:c r="AB9" s="14" t="n">
        <x:v>0</x:v>
      </x:c>
      <x:c r="AC9" s="14" t="n">
        <x:v>1</x:v>
      </x:c>
      <x:c r="AD9" s="14" t="n">
        <x:v>1</x:v>
      </x:c>
      <x:c r="AE9" s="14" t="n">
        <x:f>SUM(B9:F9)</x:f>
        <x:v>4</x:v>
      </x:c>
      <x:c r="AF9" s="17" t="n">
        <x:f>AE9/5</x:f>
        <x:v>0.8</x:v>
      </x:c>
      <x:c r="AG9" s="14" t="n">
        <x:f>SUM(G9:L9)</x:f>
        <x:v>6</x:v>
      </x:c>
      <x:c r="AH9" s="17" t="n">
        <x:f>AG9/6</x:f>
        <x:v>1</x:v>
      </x:c>
      <x:c r="AI9" s="14" t="n">
        <x:f>SUM(M9:Q9)</x:f>
        <x:v>4.5</x:v>
      </x:c>
      <x:c r="AJ9" s="17" t="n">
        <x:f>AI9/5</x:f>
        <x:v>0.9</x:v>
      </x:c>
      <x:c r="AK9" s="14" t="n">
        <x:f>SUM(R9:X9)</x:f>
        <x:v>7</x:v>
      </x:c>
      <x:c r="AL9" s="17" t="n">
        <x:f>AK9/7</x:f>
        <x:v>1</x:v>
      </x:c>
      <x:c r="AM9" s="14" t="n">
        <x:f>SUM(Y9:AD9)</x:f>
        <x:v>4.5</x:v>
      </x:c>
      <x:c r="AN9" s="17" t="n">
        <x:f>AM9/6</x:f>
        <x:v>0.75</x:v>
      </x:c>
      <x:c r="AO9" s="2"/>
      <x:c r="AP9" s="2" t="str">
        <x:v>RDM/RDM_Aug_26_Case_Study/Participant_555064_assignsubmission_file/AI Should Be in Education — But It Should Never Do the Thinking for Us.md</x:v>
      </x:c>
      <x:c r="AQ9" s="2" t="str">
        <x:v>d0c5b7842bae624f6bdf113976977c635367ecd9</x:v>
      </x:c>
    </x:row>
    <x:row r="10" ht="24" customHeight="1">
      <x:c r="A10" s="2" t="str">
        <x:v>Participant_555065_assignsubmission_file</x:v>
      </x:c>
      <x:c r="B10" s="12" t="n">
        <x:v>1</x:v>
      </x:c>
      <x:c r="C10" s="12" t="n">
        <x:v>1</x:v>
      </x:c>
      <x:c r="D10" s="12" t="n">
        <x:v>1</x:v>
      </x:c>
      <x:c r="E10" s="12" t="n">
        <x:v>0.5</x:v>
      </x:c>
      <x:c r="F10" s="12" t="n">
        <x:v>1</x:v>
      </x:c>
      <x:c r="G10" s="12" t="n">
        <x:v>1</x:v>
      </x:c>
      <x:c r="H10" s="12" t="n">
        <x:v>0.5</x:v>
      </x:c>
      <x:c r="I10" s="12" t="n">
        <x:v>1</x:v>
      </x:c>
      <x:c r="J10" s="12" t="n">
        <x:v>1</x:v>
      </x:c>
      <x:c r="K10" s="12" t="n">
        <x:v>1</x:v>
      </x:c>
      <x:c r="L10" s="12" t="n">
        <x:v>1</x:v>
      </x:c>
      <x:c r="M10" s="12" t="n">
        <x:v>1</x:v>
      </x:c>
      <x:c r="N10" s="12" t="n">
        <x:v>0.5</x:v>
      </x:c>
      <x:c r="O10" s="12" t="n">
        <x:v>1</x:v>
      </x:c>
      <x:c r="P10" s="12" t="n">
        <x:v>1</x:v>
      </x:c>
      <x:c r="Q10" s="12" t="n">
        <x:v>1</x:v>
      </x:c>
      <x:c r="R10" s="12" t="n">
        <x:v>1</x:v>
      </x:c>
      <x:c r="S10" s="12" t="n">
        <x:v>1</x:v>
      </x:c>
      <x:c r="T10" s="12" t="n">
        <x:v>1</x:v>
      </x:c>
      <x:c r="U10" s="12" t="n">
        <x:v>1</x:v>
      </x:c>
      <x:c r="V10" s="12" t="n">
        <x:v>1</x:v>
      </x:c>
      <x:c r="W10" s="12" t="n">
        <x:v>0.5</x:v>
      </x:c>
      <x:c r="X10" s="12" t="n">
        <x:v>1</x:v>
      </x:c>
      <x:c r="Y10" s="12" t="n">
        <x:v>0.5</x:v>
      </x:c>
      <x:c r="Z10" s="12" t="n">
        <x:v>1</x:v>
      </x:c>
      <x:c r="AA10" s="12" t="n">
        <x:v>1</x:v>
      </x:c>
      <x:c r="AB10" s="12" t="n">
        <x:v>1</x:v>
      </x:c>
      <x:c r="AC10" s="12" t="n">
        <x:v>1</x:v>
      </x:c>
      <x:c r="AD10" s="12" t="n">
        <x:v>1</x:v>
      </x:c>
      <x:c r="AE10" s="12" t="n">
        <x:f>SUM(B10:F10)</x:f>
        <x:v>4.5</x:v>
      </x:c>
      <x:c r="AF10" s="16" t="n">
        <x:f>AE10/5</x:f>
        <x:v>0.9</x:v>
      </x:c>
      <x:c r="AG10" s="12" t="n">
        <x:f>SUM(G10:L10)</x:f>
        <x:v>5.5</x:v>
      </x:c>
      <x:c r="AH10" s="16" t="n">
        <x:f>AG10/6</x:f>
        <x:v>0.9166666666666666</x:v>
      </x:c>
      <x:c r="AI10" s="12" t="n">
        <x:f>SUM(M10:Q10)</x:f>
        <x:v>4.5</x:v>
      </x:c>
      <x:c r="AJ10" s="16" t="n">
        <x:f>AI10/5</x:f>
        <x:v>0.9</x:v>
      </x:c>
      <x:c r="AK10" s="12" t="n">
        <x:f>SUM(R10:X10)</x:f>
        <x:v>6.5</x:v>
      </x:c>
      <x:c r="AL10" s="16" t="n">
        <x:f>AK10/7</x:f>
        <x:v>0.9285714285714286</x:v>
      </x:c>
      <x:c r="AM10" s="12" t="n">
        <x:f>SUM(Y10:AD10)</x:f>
        <x:v>5.5</x:v>
      </x:c>
      <x:c r="AN10" s="16" t="n">
        <x:f>AM10/6</x:f>
        <x:v>0.9166666666666666</x:v>
      </x:c>
      <x:c r="AO10" s="2"/>
      <x:c r="AP10" s="2" t="str">
        <x:v>RDM/RDM_Aug_26_Case_Study/Participant_555065_assignsubmission_file/HuffPost Vegetarian v Omnivore.md</x:v>
      </x:c>
      <x:c r="AQ10" s="2" t="str">
        <x:v>6c996dd073644346ccf058536400b96750bdf99a</x:v>
      </x:c>
    </x:row>
    <x:row r="11" ht="24" customHeight="1">
      <x:c r="A11" s="9" t="str">
        <x:v>Participant_555066_assignsubmission_file</x:v>
      </x:c>
      <x:c r="B11" s="14" t="n">
        <x:v>1</x:v>
      </x:c>
      <x:c r="C11" s="14" t="n">
        <x:v>1</x:v>
      </x:c>
      <x:c r="D11" s="14" t="n">
        <x:v>1</x:v>
      </x:c>
      <x:c r="E11" s="14" t="n">
        <x:v>0</x:v>
      </x:c>
      <x:c r="F11" s="14" t="n">
        <x:v>1</x:v>
      </x:c>
      <x:c r="G11" s="14" t="n">
        <x:v>1</x:v>
      </x:c>
      <x:c r="H11" s="14" t="n">
        <x:v>1</x:v>
      </x:c>
      <x:c r="I11" s="14" t="n">
        <x:v>1</x:v>
      </x:c>
      <x:c r="J11" s="14" t="n">
        <x:v>1</x:v>
      </x:c>
      <x:c r="K11" s="14" t="n">
        <x:v>1</x:v>
      </x:c>
      <x:c r="L11" s="14" t="n">
        <x:v>1</x:v>
      </x:c>
      <x:c r="M11" s="14" t="n">
        <x:v>1</x:v>
      </x:c>
      <x:c r="N11" s="14" t="n">
        <x:v>1</x:v>
      </x:c>
      <x:c r="O11" s="14" t="n">
        <x:v>1</x:v>
      </x:c>
      <x:c r="P11" s="14" t="n">
        <x:v>1</x:v>
      </x:c>
      <x:c r="Q11" s="14" t="n">
        <x:v>1</x:v>
      </x:c>
      <x:c r="R11" s="14" t="n">
        <x:v>1</x:v>
      </x:c>
      <x:c r="S11" s="14" t="n">
        <x:v>1</x:v>
      </x:c>
      <x:c r="T11" s="14" t="n">
        <x:v>1</x:v>
      </x:c>
      <x:c r="U11" s="14" t="n">
        <x:v>1</x:v>
      </x:c>
      <x:c r="V11" s="14" t="n">
        <x:v>1</x:v>
      </x:c>
      <x:c r="W11" s="14" t="n">
        <x:v>0.5</x:v>
      </x:c>
      <x:c r="X11" s="14" t="n">
        <x:v>1</x:v>
      </x:c>
      <x:c r="Y11" s="14" t="n">
        <x:v>1</x:v>
      </x:c>
      <x:c r="Z11" s="14" t="n">
        <x:v>1</x:v>
      </x:c>
      <x:c r="AA11" s="14" t="n">
        <x:v>1</x:v>
      </x:c>
      <x:c r="AB11" s="14" t="n">
        <x:v>0.5</x:v>
      </x:c>
      <x:c r="AC11" s="14" t="n">
        <x:v>1</x:v>
      </x:c>
      <x:c r="AD11" s="14" t="n">
        <x:v>1</x:v>
      </x:c>
      <x:c r="AE11" s="14" t="n">
        <x:f>SUM(B11:F11)</x:f>
        <x:v>4</x:v>
      </x:c>
      <x:c r="AF11" s="17" t="n">
        <x:f>AE11/5</x:f>
        <x:v>0.8</x:v>
      </x:c>
      <x:c r="AG11" s="14" t="n">
        <x:f>SUM(G11:L11)</x:f>
        <x:v>6</x:v>
      </x:c>
      <x:c r="AH11" s="17" t="n">
        <x:f>AG11/6</x:f>
        <x:v>1</x:v>
      </x:c>
      <x:c r="AI11" s="14" t="n">
        <x:f>SUM(M11:Q11)</x:f>
        <x:v>5</x:v>
      </x:c>
      <x:c r="AJ11" s="17" t="n">
        <x:f>AI11/5</x:f>
        <x:v>1</x:v>
      </x:c>
      <x:c r="AK11" s="14" t="n">
        <x:f>SUM(R11:X11)</x:f>
        <x:v>6.5</x:v>
      </x:c>
      <x:c r="AL11" s="17" t="n">
        <x:f>AK11/7</x:f>
        <x:v>0.9285714285714286</x:v>
      </x:c>
      <x:c r="AM11" s="14" t="n">
        <x:f>SUM(Y11:AD11)</x:f>
        <x:v>5.5</x:v>
      </x:c>
      <x:c r="AN11" s="17" t="n">
        <x:f>AM11/6</x:f>
        <x:v>0.9166666666666666</x:v>
      </x:c>
      <x:c r="AO11" s="2"/>
      <x:c r="AP11" s="2" t="str">
        <x:v>RDM/RDM_Aug_26_Case_Study/Participant_555066_assignsubmission_file/AI Can and Should be part of Education but with Limits.md</x:v>
      </x:c>
      <x:c r="AQ11" s="2" t="str">
        <x:v>cc7b0426b6759e81ad0926a7357155e34abcc7f2</x:v>
      </x:c>
    </x:row>
    <x:row r="12" ht="24" customHeight="1">
      <x:c r="A12" s="2" t="str">
        <x:v>Participant_555069_assignsubmission_file</x:v>
      </x:c>
      <x:c r="B12" s="12" t="n">
        <x:v>0.5</x:v>
      </x:c>
      <x:c r="C12" s="12" t="n">
        <x:v>0.5</x:v>
      </x:c>
      <x:c r="D12" s="12" t="n">
        <x:v>0.5</x:v>
      </x:c>
      <x:c r="E12" s="12" t="n">
        <x:v>0</x:v>
      </x:c>
      <x:c r="F12" s="12" t="n">
        <x:v>0.5</x:v>
      </x:c>
      <x:c r="G12" s="12" t="n">
        <x:v>1</x:v>
      </x:c>
      <x:c r="H12" s="12" t="n">
        <x:v>0.5</x:v>
      </x:c>
      <x:c r="I12" s="12" t="n">
        <x:v>0</x:v>
      </x:c>
      <x:c r="J12" s="12" t="n">
        <x:v>0.5</x:v>
      </x:c>
      <x:c r="K12" s="12" t="n">
        <x:v>0.5</x:v>
      </x:c>
      <x:c r="L12" s="12" t="n">
        <x:v>0.5</x:v>
      </x:c>
      <x:c r="M12" s="12" t="n">
        <x:v>0.5</x:v>
      </x:c>
      <x:c r="N12" s="12" t="n">
        <x:v>0.5</x:v>
      </x:c>
      <x:c r="O12" s="12" t="n">
        <x:v>0.5</x:v>
      </x:c>
      <x:c r="P12" s="12" t="n">
        <x:v>1</x:v>
      </x:c>
      <x:c r="Q12" s="12" t="n">
        <x:v>0.5</x:v>
      </x:c>
      <x:c r="R12" s="12" t="n">
        <x:v>0.5</x:v>
      </x:c>
      <x:c r="S12" s="12" t="n">
        <x:v>1</x:v>
      </x:c>
      <x:c r="T12" s="12" t="n">
        <x:v>1</x:v>
      </x:c>
      <x:c r="U12" s="12" t="n">
        <x:v>1</x:v>
      </x:c>
      <x:c r="V12" s="12" t="n">
        <x:v>0.5</x:v>
      </x:c>
      <x:c r="W12" s="12" t="n">
        <x:v>0.5</x:v>
      </x:c>
      <x:c r="X12" s="12" t="n">
        <x:v>1</x:v>
      </x:c>
      <x:c r="Y12" s="12" t="n">
        <x:v>1</x:v>
      </x:c>
      <x:c r="Z12" s="12" t="n">
        <x:v>1</x:v>
      </x:c>
      <x:c r="AA12" s="12" t="n">
        <x:v>1</x:v>
      </x:c>
      <x:c r="AB12" s="12" t="n">
        <x:v>0.5</x:v>
      </x:c>
      <x:c r="AC12" s="12" t="n">
        <x:v>1</x:v>
      </x:c>
      <x:c r="AD12" s="12" t="n">
        <x:v>0.5</x:v>
      </x:c>
      <x:c r="AE12" s="12" t="n">
        <x:f>SUM(B12:F12)</x:f>
        <x:v>2</x:v>
      </x:c>
      <x:c r="AF12" s="16" t="n">
        <x:f>AE12/5</x:f>
        <x:v>0.4</x:v>
      </x:c>
      <x:c r="AG12" s="12" t="n">
        <x:f>SUM(G12:L12)</x:f>
        <x:v>3</x:v>
      </x:c>
      <x:c r="AH12" s="16" t="n">
        <x:f>AG12/6</x:f>
        <x:v>0.5</x:v>
      </x:c>
      <x:c r="AI12" s="12" t="n">
        <x:f>SUM(M12:Q12)</x:f>
        <x:v>3</x:v>
      </x:c>
      <x:c r="AJ12" s="16" t="n">
        <x:f>AI12/5</x:f>
        <x:v>0.6</x:v>
      </x:c>
      <x:c r="AK12" s="12" t="n">
        <x:f>SUM(R12:X12)</x:f>
        <x:v>5.5</x:v>
      </x:c>
      <x:c r="AL12" s="16" t="n">
        <x:f>AK12/7</x:f>
        <x:v>0.7857142857142857</x:v>
      </x:c>
      <x:c r="AM12" s="12" t="n">
        <x:f>SUM(Y12:AD12)</x:f>
        <x:v>5</x:v>
      </x:c>
      <x:c r="AN12" s="16" t="n">
        <x:f>AM12/6</x:f>
        <x:v>0.8333333333333334</x:v>
      </x:c>
      <x:c r="AO12" s="2"/>
      <x:c r="AP12" s="2" t="str">
        <x:v>RDM/RDM_Aug_26_Case_Study/Participant_555069_assignsubmission_file/Assignment Question.md</x:v>
      </x:c>
      <x:c r="AQ12" s="2" t="str">
        <x:v>150cc055bff299f5d08dff97f1f1f631c1420416</x:v>
      </x:c>
    </x:row>
    <x:row r="13" ht="24" customHeight="1">
      <x:c r="A13" s="9" t="str">
        <x:v>Participant_555070_assignsubmission_file</x:v>
      </x:c>
      <x:c r="B13" s="14" t="n">
        <x:v>0.5</x:v>
      </x:c>
      <x:c r="C13" s="14" t="n">
        <x:v>1</x:v>
      </x:c>
      <x:c r="D13" s="14" t="n">
        <x:v>0.5</x:v>
      </x:c>
      <x:c r="E13" s="14" t="n">
        <x:v>0</x:v>
      </x:c>
      <x:c r="F13" s="14" t="n">
        <x:v>0.5</x:v>
      </x:c>
      <x:c r="G13" s="14" t="n">
        <x:v>1</x:v>
      </x:c>
      <x:c r="H13" s="14" t="n">
        <x:v>0.5</x:v>
      </x:c>
      <x:c r="I13" s="14" t="n">
        <x:v>0.5</x:v>
      </x:c>
      <x:c r="J13" s="14" t="n">
        <x:v>0.5</x:v>
      </x:c>
      <x:c r="K13" s="14" t="n">
        <x:v>0.5</x:v>
      </x:c>
      <x:c r="L13" s="14" t="n">
        <x:v>0.5</x:v>
      </x:c>
      <x:c r="M13" s="14" t="n">
        <x:v>0.5</x:v>
      </x:c>
      <x:c r="N13" s="14" t="n">
        <x:v>0.5</x:v>
      </x:c>
      <x:c r="O13" s="14" t="n">
        <x:v>0.5</x:v>
      </x:c>
      <x:c r="P13" s="14" t="n">
        <x:v>1</x:v>
      </x:c>
      <x:c r="Q13" s="14" t="n">
        <x:v>0.5</x:v>
      </x:c>
      <x:c r="R13" s="14" t="n">
        <x:v>1</x:v>
      </x:c>
      <x:c r="S13" s="14" t="n">
        <x:v>1</x:v>
      </x:c>
      <x:c r="T13" s="14" t="n">
        <x:v>1</x:v>
      </x:c>
      <x:c r="U13" s="14" t="n">
        <x:v>1</x:v>
      </x:c>
      <x:c r="V13" s="14" t="n">
        <x:v>0.5</x:v>
      </x:c>
      <x:c r="W13" s="14" t="n">
        <x:v>0.5</x:v>
      </x:c>
      <x:c r="X13" s="14" t="n">
        <x:v>0.5</x:v>
      </x:c>
      <x:c r="Y13" s="14" t="n">
        <x:v>0</x:v>
      </x:c>
      <x:c r="Z13" s="14" t="n">
        <x:v>0.5</x:v>
      </x:c>
      <x:c r="AA13" s="14" t="n">
        <x:v>0</x:v>
      </x:c>
      <x:c r="AB13" s="14" t="n">
        <x:v>0</x:v>
      </x:c>
      <x:c r="AC13" s="14" t="n">
        <x:v>0</x:v>
      </x:c>
      <x:c r="AD13" s="14" t="n">
        <x:v>0.5</x:v>
      </x:c>
      <x:c r="AE13" s="14" t="n">
        <x:f>SUM(B13:F13)</x:f>
        <x:v>2.5</x:v>
      </x:c>
      <x:c r="AF13" s="17" t="n">
        <x:f>AE13/5</x:f>
        <x:v>0.5</x:v>
      </x:c>
      <x:c r="AG13" s="14" t="n">
        <x:f>SUM(G13:L13)</x:f>
        <x:v>3.5</x:v>
      </x:c>
      <x:c r="AH13" s="17" t="n">
        <x:f>AG13/6</x:f>
        <x:v>0.5833333333333334</x:v>
      </x:c>
      <x:c r="AI13" s="14" t="n">
        <x:f>SUM(M13:Q13)</x:f>
        <x:v>3</x:v>
      </x:c>
      <x:c r="AJ13" s="17" t="n">
        <x:f>AI13/5</x:f>
        <x:v>0.6</x:v>
      </x:c>
      <x:c r="AK13" s="14" t="n">
        <x:f>SUM(R13:X13)</x:f>
        <x:v>5.5</x:v>
      </x:c>
      <x:c r="AL13" s="17" t="n">
        <x:f>AK13/7</x:f>
        <x:v>0.7857142857142857</x:v>
      </x:c>
      <x:c r="AM13" s="14" t="n">
        <x:f>SUM(Y13:AD13)</x:f>
        <x:v>1</x:v>
      </x:c>
      <x:c r="AN13" s="17" t="n">
        <x:f>AM13/6</x:f>
        <x:v>0.16666666666666666</x:v>
      </x:c>
      <x:c r="AO13" s="2"/>
      <x:c r="AP13" s="2" t="str">
        <x:v>RDM/RDM_Aug_26_Case_Study/Participant_555070_assignsubmission_file/Why “Conscientious Omnivorism” is the Future of Food.md</x:v>
      </x:c>
      <x:c r="AQ13" s="2" t="str">
        <x:v>ed0986287bebdc2a51c00d9187aba269a380a677</x:v>
      </x:c>
    </x:row>
    <x:row r="14" ht="24" customHeight="1">
      <x:c r="A14" s="2" t="str">
        <x:v>Participant_555071_assignsubmission_file</x:v>
      </x:c>
      <x:c r="B14" s="12" t="n">
        <x:v>0.5</x:v>
      </x:c>
      <x:c r="C14" s="12" t="n">
        <x:v>0</x:v>
      </x:c>
      <x:c r="D14" s="12" t="n">
        <x:v>0.5</x:v>
      </x:c>
      <x:c r="E14" s="12" t="n">
        <x:v>0.5</x:v>
      </x:c>
      <x:c r="F14" s="12" t="n">
        <x:v>0.5</x:v>
      </x:c>
      <x:c r="G14" s="12" t="n">
        <x:v>1</x:v>
      </x:c>
      <x:c r="H14" s="12" t="n">
        <x:v>0.5</x:v>
      </x:c>
      <x:c r="I14" s="12" t="n">
        <x:v>0.5</x:v>
      </x:c>
      <x:c r="J14" s="12" t="n">
        <x:v>0.5</x:v>
      </x:c>
      <x:c r="K14" s="12" t="n">
        <x:v>0.5</x:v>
      </x:c>
      <x:c r="L14" s="12" t="n">
        <x:v>0.5</x:v>
      </x:c>
      <x:c r="M14" s="12" t="n">
        <x:v>0.5</x:v>
      </x:c>
      <x:c r="N14" s="12" t="n">
        <x:v>0.5</x:v>
      </x:c>
      <x:c r="O14" s="12" t="n">
        <x:v>0.5</x:v>
      </x:c>
      <x:c r="P14" s="12" t="n">
        <x:v>0.5</x:v>
      </x:c>
      <x:c r="Q14" s="12" t="n">
        <x:v>0.5</x:v>
      </x:c>
      <x:c r="R14" s="12" t="n">
        <x:v>1</x:v>
      </x:c>
      <x:c r="S14" s="12" t="n">
        <x:v>1</x:v>
      </x:c>
      <x:c r="T14" s="12" t="n">
        <x:v>1</x:v>
      </x:c>
      <x:c r="U14" s="12" t="n">
        <x:v>0.5</x:v>
      </x:c>
      <x:c r="V14" s="12" t="n">
        <x:v>0.5</x:v>
      </x:c>
      <x:c r="W14" s="12" t="n">
        <x:v>1</x:v>
      </x:c>
      <x:c r="X14" s="12" t="n">
        <x:v>0.5</x:v>
      </x:c>
      <x:c r="Y14" s="12" t="n">
        <x:v>0.5</x:v>
      </x:c>
      <x:c r="Z14" s="12" t="n">
        <x:v>1</x:v>
      </x:c>
      <x:c r="AA14" s="12" t="n">
        <x:v>1</x:v>
      </x:c>
      <x:c r="AB14" s="12" t="n">
        <x:v>0</x:v>
      </x:c>
      <x:c r="AC14" s="12" t="n">
        <x:v>1</x:v>
      </x:c>
      <x:c r="AD14" s="12" t="n">
        <x:v>0.5</x:v>
      </x:c>
      <x:c r="AE14" s="12" t="n">
        <x:f>SUM(B14:F14)</x:f>
        <x:v>2</x:v>
      </x:c>
      <x:c r="AF14" s="16" t="n">
        <x:f>AE14/5</x:f>
        <x:v>0.4</x:v>
      </x:c>
      <x:c r="AG14" s="12" t="n">
        <x:f>SUM(G14:L14)</x:f>
        <x:v>3.5</x:v>
      </x:c>
      <x:c r="AH14" s="16" t="n">
        <x:f>AG14/6</x:f>
        <x:v>0.5833333333333334</x:v>
      </x:c>
      <x:c r="AI14" s="12" t="n">
        <x:f>SUM(M14:Q14)</x:f>
        <x:v>2.5</x:v>
      </x:c>
      <x:c r="AJ14" s="16" t="n">
        <x:f>AI14/5</x:f>
        <x:v>0.5</x:v>
      </x:c>
      <x:c r="AK14" s="12" t="n">
        <x:f>SUM(R14:X14)</x:f>
        <x:v>5.5</x:v>
      </x:c>
      <x:c r="AL14" s="16" t="n">
        <x:f>AK14/7</x:f>
        <x:v>0.7857142857142857</x:v>
      </x:c>
      <x:c r="AM14" s="12" t="n">
        <x:f>SUM(Y14:AD14)</x:f>
        <x:v>4</x:v>
      </x:c>
      <x:c r="AN14" s="16" t="n">
        <x:f>AM14/6</x:f>
        <x:v>0.6666666666666666</x:v>
      </x:c>
      <x:c r="AO14" s="2"/>
      <x:c r="AP14" s="2" t="str">
        <x:v>RDM/RDM_Aug_26_Case_Study/Participant_555071_assignsubmission_file/Case study - Online vs Traditional Education.md</x:v>
      </x:c>
      <x:c r="AQ14" s="2" t="str">
        <x:v>24155530889c12af50c61eb5900c811090e440cd</x:v>
      </x:c>
    </x:row>
    <x:row r="15" ht="24" customHeight="1">
      <x:c r="A15" s="9" t="str">
        <x:v>Participant_555072_assignsubmission_file</x:v>
      </x:c>
      <x:c r="B15" s="14" t="n">
        <x:v>1</x:v>
      </x:c>
      <x:c r="C15" s="14" t="n">
        <x:v>1</x:v>
      </x:c>
      <x:c r="D15" s="14" t="n">
        <x:v>1</x:v>
      </x:c>
      <x:c r="E15" s="14" t="n">
        <x:v>0.5</x:v>
      </x:c>
      <x:c r="F15" s="14" t="n">
        <x:v>1</x:v>
      </x:c>
      <x:c r="G15" s="14" t="n">
        <x:v>1</x:v>
      </x:c>
      <x:c r="H15" s="14" t="n">
        <x:v>1</x:v>
      </x:c>
      <x:c r="I15" s="14" t="n">
        <x:v>1</x:v>
      </x:c>
      <x:c r="J15" s="14" t="n">
        <x:v>1</x:v>
      </x:c>
      <x:c r="K15" s="14" t="n">
        <x:v>1</x:v>
      </x:c>
      <x:c r="L15" s="14" t="n">
        <x:v>1</x:v>
      </x:c>
      <x:c r="M15" s="14" t="n">
        <x:v>1</x:v>
      </x:c>
      <x:c r="N15" s="14" t="n">
        <x:v>0.5</x:v>
      </x:c>
      <x:c r="O15" s="14" t="n">
        <x:v>1</x:v>
      </x:c>
      <x:c r="P15" s="14" t="n">
        <x:v>1</x:v>
      </x:c>
      <x:c r="Q15" s="14" t="n">
        <x:v>1</x:v>
      </x:c>
      <x:c r="R15" s="14" t="n">
        <x:v>1</x:v>
      </x:c>
      <x:c r="S15" s="14" t="n">
        <x:v>1</x:v>
      </x:c>
      <x:c r="T15" s="14" t="n">
        <x:v>1</x:v>
      </x:c>
      <x:c r="U15" s="14" t="n">
        <x:v>1</x:v>
      </x:c>
      <x:c r="V15" s="14" t="n">
        <x:v>1</x:v>
      </x:c>
      <x:c r="W15" s="14" t="n">
        <x:v>1</x:v>
      </x:c>
      <x:c r="X15" s="14" t="n">
        <x:v>1</x:v>
      </x:c>
      <x:c r="Y15" s="14" t="n">
        <x:v>0.5</x:v>
      </x:c>
      <x:c r="Z15" s="14" t="n">
        <x:v>1</x:v>
      </x:c>
      <x:c r="AA15" s="14" t="n">
        <x:v>1</x:v>
      </x:c>
      <x:c r="AB15" s="14" t="n">
        <x:v>0.5</x:v>
      </x:c>
      <x:c r="AC15" s="14" t="n">
        <x:v>1</x:v>
      </x:c>
      <x:c r="AD15" s="14" t="n">
        <x:v>1</x:v>
      </x:c>
      <x:c r="AE15" s="14" t="n">
        <x:f>SUM(B15:F15)</x:f>
        <x:v>4.5</x:v>
      </x:c>
      <x:c r="AF15" s="17" t="n">
        <x:f>AE15/5</x:f>
        <x:v>0.9</x:v>
      </x:c>
      <x:c r="AG15" s="14" t="n">
        <x:f>SUM(G15:L15)</x:f>
        <x:v>6</x:v>
      </x:c>
      <x:c r="AH15" s="17" t="n">
        <x:f>AG15/6</x:f>
        <x:v>1</x:v>
      </x:c>
      <x:c r="AI15" s="14" t="n">
        <x:f>SUM(M15:Q15)</x:f>
        <x:v>4.5</x:v>
      </x:c>
      <x:c r="AJ15" s="17" t="n">
        <x:f>AI15/5</x:f>
        <x:v>0.9</x:v>
      </x:c>
      <x:c r="AK15" s="14" t="n">
        <x:f>SUM(R15:X15)</x:f>
        <x:v>7</x:v>
      </x:c>
      <x:c r="AL15" s="17" t="n">
        <x:f>AK15/7</x:f>
        <x:v>1</x:v>
      </x:c>
      <x:c r="AM15" s="14" t="n">
        <x:f>SUM(Y15:AD15)</x:f>
        <x:v>5</x:v>
      </x:c>
      <x:c r="AN15" s="17" t="n">
        <x:f>AM15/6</x:f>
        <x:v>0.8333333333333334</x:v>
      </x:c>
      <x:c r="AO15" s="2"/>
      <x:c r="AP15" s="2" t="str">
        <x:v>RDM/RDM_Aug_26_Case_Study/Participant_555072_assignsubmission_file/Case Study - Blog Post.md</x:v>
      </x:c>
      <x:c r="AQ15" s="2" t="str">
        <x:v>b545607a9ce1c184ce7e2d09a34940464de27d26</x:v>
      </x:c>
    </x:row>
    <x:row r="16" ht="24" customHeight="1">
      <x:c r="A16" s="2" t="str">
        <x:v>Participant_555073_assignsubmission_file</x:v>
      </x:c>
      <x:c r="B16" s="12" t="n">
        <x:v>1</x:v>
      </x:c>
      <x:c r="C16" s="12" t="n">
        <x:v>1</x:v>
      </x:c>
      <x:c r="D16" s="12" t="n">
        <x:v>1</x:v>
      </x:c>
      <x:c r="E16" s="12" t="n">
        <x:v>0</x:v>
      </x:c>
      <x:c r="F16" s="12" t="n">
        <x:v>1</x:v>
      </x:c>
      <x:c r="G16" s="12" t="n">
        <x:v>1</x:v>
      </x:c>
      <x:c r="H16" s="12" t="n">
        <x:v>0.5</x:v>
      </x:c>
      <x:c r="I16" s="12" t="n">
        <x:v>1</x:v>
      </x:c>
      <x:c r="J16" s="12" t="n">
        <x:v>1</x:v>
      </x:c>
      <x:c r="K16" s="12" t="n">
        <x:v>1</x:v>
      </x:c>
      <x:c r="L16" s="12" t="n">
        <x:v>1</x:v>
      </x:c>
      <x:c r="M16" s="12" t="n">
        <x:v>1</x:v>
      </x:c>
      <x:c r="N16" s="12" t="n">
        <x:v>0.5</x:v>
      </x:c>
      <x:c r="O16" s="12" t="n">
        <x:v>1</x:v>
      </x:c>
      <x:c r="P16" s="12" t="n">
        <x:v>1</x:v>
      </x:c>
      <x:c r="Q16" s="12" t="n">
        <x:v>1</x:v>
      </x:c>
      <x:c r="R16" s="12" t="n">
        <x:v>1</x:v>
      </x:c>
      <x:c r="S16" s="12" t="n">
        <x:v>1</x:v>
      </x:c>
      <x:c r="T16" s="12" t="n">
        <x:v>1</x:v>
      </x:c>
      <x:c r="U16" s="12" t="n">
        <x:v>1</x:v>
      </x:c>
      <x:c r="V16" s="12" t="n">
        <x:v>1</x:v>
      </x:c>
      <x:c r="W16" s="12" t="n">
        <x:v>1</x:v>
      </x:c>
      <x:c r="X16" s="12" t="n">
        <x:v>1</x:v>
      </x:c>
      <x:c r="Y16" s="12" t="n">
        <x:v>0.5</x:v>
      </x:c>
      <x:c r="Z16" s="12" t="n">
        <x:v>1</x:v>
      </x:c>
      <x:c r="AA16" s="12" t="n">
        <x:v>1</x:v>
      </x:c>
      <x:c r="AB16" s="12" t="n">
        <x:v>1</x:v>
      </x:c>
      <x:c r="AC16" s="12" t="n">
        <x:v>1</x:v>
      </x:c>
      <x:c r="AD16" s="12" t="n">
        <x:v>1</x:v>
      </x:c>
      <x:c r="AE16" s="12" t="n">
        <x:f>SUM(B16:F16)</x:f>
        <x:v>4</x:v>
      </x:c>
      <x:c r="AF16" s="16" t="n">
        <x:f>AE16/5</x:f>
        <x:v>0.8</x:v>
      </x:c>
      <x:c r="AG16" s="12" t="n">
        <x:f>SUM(G16:L16)</x:f>
        <x:v>5.5</x:v>
      </x:c>
      <x:c r="AH16" s="16" t="n">
        <x:f>AG16/6</x:f>
        <x:v>0.9166666666666666</x:v>
      </x:c>
      <x:c r="AI16" s="12" t="n">
        <x:f>SUM(M16:Q16)</x:f>
        <x:v>4.5</x:v>
      </x:c>
      <x:c r="AJ16" s="16" t="n">
        <x:f>AI16/5</x:f>
        <x:v>0.9</x:v>
      </x:c>
      <x:c r="AK16" s="12" t="n">
        <x:f>SUM(R16:X16)</x:f>
        <x:v>7</x:v>
      </x:c>
      <x:c r="AL16" s="16" t="n">
        <x:f>AK16/7</x:f>
        <x:v>1</x:v>
      </x:c>
      <x:c r="AM16" s="12" t="n">
        <x:f>SUM(Y16:AD16)</x:f>
        <x:v>5.5</x:v>
      </x:c>
      <x:c r="AN16" s="16" t="n">
        <x:f>AM16/6</x:f>
        <x:v>0.9166666666666666</x:v>
      </x:c>
      <x:c r="AO16" s="2"/>
      <x:c r="AP16" s="2" t="str">
        <x:v>RDM/RDM_Aug_26_Case_Study/Participant_555073_assignsubmission_file/Blog Post - Unit 6 Assignment - Case Study.md</x:v>
      </x:c>
      <x:c r="AQ16" s="2" t="str">
        <x:v>51304fe042179d309e97bb1999af5e9201f8dae8</x:v>
      </x:c>
    </x:row>
    <x:row r="17" ht="24" customHeight="1">
      <x:c r="A17" s="9" t="str">
        <x:v>Participant_555074_assignsubmission_file</x:v>
      </x:c>
      <x:c r="B17" s="14" t="n">
        <x:v>1</x:v>
      </x:c>
      <x:c r="C17" s="14" t="n">
        <x:v>0</x:v>
      </x:c>
      <x:c r="D17" s="14" t="n">
        <x:v>1</x:v>
      </x:c>
      <x:c r="E17" s="14" t="n">
        <x:v>1</x:v>
      </x:c>
      <x:c r="F17" s="14" t="n">
        <x:v>0.5</x:v>
      </x:c>
      <x:c r="G17" s="14" t="n">
        <x:v>1</x:v>
      </x:c>
      <x:c r="H17" s="14" t="n">
        <x:v>0.5</x:v>
      </x:c>
      <x:c r="I17" s="14" t="n">
        <x:v>0.5</x:v>
      </x:c>
      <x:c r="J17" s="14" t="n">
        <x:v>0.5</x:v>
      </x:c>
      <x:c r="K17" s="14" t="n">
        <x:v>0.5</x:v>
      </x:c>
      <x:c r="L17" s="14" t="n">
        <x:v>0.5</x:v>
      </x:c>
      <x:c r="M17" s="14" t="n">
        <x:v>1</x:v>
      </x:c>
      <x:c r="N17" s="14" t="n">
        <x:v>1</x:v>
      </x:c>
      <x:c r="O17" s="14" t="n">
        <x:v>0.5</x:v>
      </x:c>
      <x:c r="P17" s="14" t="n">
        <x:v>1</x:v>
      </x:c>
      <x:c r="Q17" s="14" t="n">
        <x:v>0.5</x:v>
      </x:c>
      <x:c r="R17" s="14" t="n">
        <x:v>1</x:v>
      </x:c>
      <x:c r="S17" s="14" t="n">
        <x:v>1</x:v>
      </x:c>
      <x:c r="T17" s="14" t="n">
        <x:v>0.5</x:v>
      </x:c>
      <x:c r="U17" s="14" t="n">
        <x:v>1</x:v>
      </x:c>
      <x:c r="V17" s="14" t="n">
        <x:v>1</x:v>
      </x:c>
      <x:c r="W17" s="14" t="n">
        <x:v>1</x:v>
      </x:c>
      <x:c r="X17" s="14" t="n">
        <x:v>1</x:v>
      </x:c>
      <x:c r="Y17" s="14" t="n">
        <x:v>0.5</x:v>
      </x:c>
      <x:c r="Z17" s="14" t="n">
        <x:v>1</x:v>
      </x:c>
      <x:c r="AA17" s="14" t="n">
        <x:v>1</x:v>
      </x:c>
      <x:c r="AB17" s="14" t="n">
        <x:v>0.5</x:v>
      </x:c>
      <x:c r="AC17" s="14" t="n">
        <x:v>1</x:v>
      </x:c>
      <x:c r="AD17" s="14" t="n">
        <x:v>0.5</x:v>
      </x:c>
      <x:c r="AE17" s="14" t="n">
        <x:f>SUM(B17:F17)</x:f>
        <x:v>3.5</x:v>
      </x:c>
      <x:c r="AF17" s="17" t="n">
        <x:f>AE17/5</x:f>
        <x:v>0.7</x:v>
      </x:c>
      <x:c r="AG17" s="14" t="n">
        <x:f>SUM(G17:L17)</x:f>
        <x:v>3.5</x:v>
      </x:c>
      <x:c r="AH17" s="17" t="n">
        <x:f>AG17/6</x:f>
        <x:v>0.5833333333333334</x:v>
      </x:c>
      <x:c r="AI17" s="14" t="n">
        <x:f>SUM(M17:Q17)</x:f>
        <x:v>4</x:v>
      </x:c>
      <x:c r="AJ17" s="17" t="n">
        <x:f>AI17/5</x:f>
        <x:v>0.8</x:v>
      </x:c>
      <x:c r="AK17" s="14" t="n">
        <x:f>SUM(R17:X17)</x:f>
        <x:v>6.5</x:v>
      </x:c>
      <x:c r="AL17" s="17" t="n">
        <x:f>AK17/7</x:f>
        <x:v>0.9285714285714286</x:v>
      </x:c>
      <x:c r="AM17" s="14" t="n">
        <x:f>SUM(Y17:AD17)</x:f>
        <x:v>4.5</x:v>
      </x:c>
      <x:c r="AN17" s="17" t="n">
        <x:f>AM17/6</x:f>
        <x:v>0.75</x:v>
      </x:c>
      <x:c r="AO17" s="2"/>
      <x:c r="AP17" s="2" t="str">
        <x:v>RDM/RDM_Aug_26_Case_Study/Participant_555074_assignsubmission_file/Assignment Case Study.md</x:v>
      </x:c>
      <x:c r="AQ17" s="2" t="str">
        <x:v>224f4343365132310337c919cbc4e32582f70cc9</x:v>
      </x:c>
    </x:row>
    <x:row r="18" ht="24" customHeight="1">
      <x:c r="A18" s="2" t="str">
        <x:v>Participant_555076_assignsubmission_file</x:v>
      </x:c>
      <x:c r="B18" s="12" t="n">
        <x:v>1</x:v>
      </x:c>
      <x:c r="C18" s="12" t="n">
        <x:v>0</x:v>
      </x:c>
      <x:c r="D18" s="12" t="n">
        <x:v>0.5</x:v>
      </x:c>
      <x:c r="E18" s="12" t="n">
        <x:v>0</x:v>
      </x:c>
      <x:c r="F18" s="12" t="n">
        <x:v>1</x:v>
      </x:c>
      <x:c r="G18" s="12" t="n">
        <x:v>1</x:v>
      </x:c>
      <x:c r="H18" s="12" t="n">
        <x:v>0.5</x:v>
      </x:c>
      <x:c r="I18" s="12" t="n">
        <x:v>0.5</x:v>
      </x:c>
      <x:c r="J18" s="12" t="n">
        <x:v>0.5</x:v>
      </x:c>
      <x:c r="K18" s="12" t="n">
        <x:v>0.5</x:v>
      </x:c>
      <x:c r="L18" s="12" t="n">
        <x:v>1</x:v>
      </x:c>
      <x:c r="M18" s="12" t="n">
        <x:v>0.5</x:v>
      </x:c>
      <x:c r="N18" s="12" t="n">
        <x:v>0.5</x:v>
      </x:c>
      <x:c r="O18" s="12" t="n">
        <x:v>0.5</x:v>
      </x:c>
      <x:c r="P18" s="12" t="n">
        <x:v>1</x:v>
      </x:c>
      <x:c r="Q18" s="12" t="n">
        <x:v>0.5</x:v>
      </x:c>
      <x:c r="R18" s="12" t="n">
        <x:v>1</x:v>
      </x:c>
      <x:c r="S18" s="12" t="n">
        <x:v>1</x:v>
      </x:c>
      <x:c r="T18" s="12" t="n">
        <x:v>1</x:v>
      </x:c>
      <x:c r="U18" s="12" t="n">
        <x:v>1</x:v>
      </x:c>
      <x:c r="V18" s="12" t="n">
        <x:v>1</x:v>
      </x:c>
      <x:c r="W18" s="12" t="n">
        <x:v>0.5</x:v>
      </x:c>
      <x:c r="X18" s="12" t="n">
        <x:v>0</x:v>
      </x:c>
      <x:c r="Y18" s="12" t="n">
        <x:v>1</x:v>
      </x:c>
      <x:c r="Z18" s="12" t="n">
        <x:v>1</x:v>
      </x:c>
      <x:c r="AA18" s="12" t="n">
        <x:v>1</x:v>
      </x:c>
      <x:c r="AB18" s="12" t="n">
        <x:v>0.5</x:v>
      </x:c>
      <x:c r="AC18" s="12" t="n">
        <x:v>1</x:v>
      </x:c>
      <x:c r="AD18" s="12" t="n">
        <x:v>0.5</x:v>
      </x:c>
      <x:c r="AE18" s="12" t="n">
        <x:f>SUM(B18:F18)</x:f>
        <x:v>2.5</x:v>
      </x:c>
      <x:c r="AF18" s="16" t="n">
        <x:f>AE18/5</x:f>
        <x:v>0.5</x:v>
      </x:c>
      <x:c r="AG18" s="12" t="n">
        <x:f>SUM(G18:L18)</x:f>
        <x:v>4</x:v>
      </x:c>
      <x:c r="AH18" s="16" t="n">
        <x:f>AG18/6</x:f>
        <x:v>0.6666666666666666</x:v>
      </x:c>
      <x:c r="AI18" s="12" t="n">
        <x:f>SUM(M18:Q18)</x:f>
        <x:v>3</x:v>
      </x:c>
      <x:c r="AJ18" s="16" t="n">
        <x:f>AI18/5</x:f>
        <x:v>0.6</x:v>
      </x:c>
      <x:c r="AK18" s="12" t="n">
        <x:f>SUM(R18:X18)</x:f>
        <x:v>5.5</x:v>
      </x:c>
      <x:c r="AL18" s="16" t="n">
        <x:f>AK18/7</x:f>
        <x:v>0.7857142857142857</x:v>
      </x:c>
      <x:c r="AM18" s="12" t="n">
        <x:f>SUM(Y18:AD18)</x:f>
        <x:v>5</x:v>
      </x:c>
      <x:c r="AN18" s="16" t="n">
        <x:f>AM18/6</x:f>
        <x:v>0.8333333333333334</x:v>
      </x:c>
      <x:c r="AO18" s="2"/>
      <x:c r="AP18" s="2" t="str">
        <x:v>RDM/RDM_Aug_26_Case_Study/Participant_555076_assignsubmission_file/blog.md</x:v>
      </x:c>
      <x:c r="AQ18" s="2" t="str">
        <x:v>37b040a376a923dd4ad28fa07532e223d8f87385</x:v>
      </x:c>
    </x:row>
    <x:row r="19" ht="24" customHeight="1">
      <x:c r="A19" s="9" t="str">
        <x:v>Participant_555077_assignsubmission_file</x:v>
      </x:c>
      <x:c r="B19" s="14" t="n">
        <x:v>1</x:v>
      </x:c>
      <x:c r="C19" s="14" t="n">
        <x:v>0</x:v>
      </x:c>
      <x:c r="D19" s="14" t="n">
        <x:v>1</x:v>
      </x:c>
      <x:c r="E19" s="14" t="n">
        <x:v>0</x:v>
      </x:c>
      <x:c r="F19" s="14" t="n">
        <x:v>1</x:v>
      </x:c>
      <x:c r="G19" s="14" t="n">
        <x:v>1</x:v>
      </x:c>
      <x:c r="H19" s="14" t="n">
        <x:v>0.5</x:v>
      </x:c>
      <x:c r="I19" s="14" t="n">
        <x:v>1</x:v>
      </x:c>
      <x:c r="J19" s="14" t="n">
        <x:v>1</x:v>
      </x:c>
      <x:c r="K19" s="14" t="n">
        <x:v>0.5</x:v>
      </x:c>
      <x:c r="L19" s="14" t="n">
        <x:v>1</x:v>
      </x:c>
      <x:c r="M19" s="14" t="n">
        <x:v>1</x:v>
      </x:c>
      <x:c r="N19" s="14" t="n">
        <x:v>0.5</x:v>
      </x:c>
      <x:c r="O19" s="14" t="n">
        <x:v>1</x:v>
      </x:c>
      <x:c r="P19" s="14" t="n">
        <x:v>1</x:v>
      </x:c>
      <x:c r="Q19" s="14" t="n">
        <x:v>1</x:v>
      </x:c>
      <x:c r="R19" s="14" t="n">
        <x:v>1</x:v>
      </x:c>
      <x:c r="S19" s="14" t="n">
        <x:v>1</x:v>
      </x:c>
      <x:c r="T19" s="14" t="n">
        <x:v>1</x:v>
      </x:c>
      <x:c r="U19" s="14" t="n">
        <x:v>1</x:v>
      </x:c>
      <x:c r="V19" s="14" t="n">
        <x:v>1</x:v>
      </x:c>
      <x:c r="W19" s="14" t="n">
        <x:v>1</x:v>
      </x:c>
      <x:c r="X19" s="14" t="n">
        <x:v>1</x:v>
      </x:c>
      <x:c r="Y19" s="14" t="n">
        <x:v>0.5</x:v>
      </x:c>
      <x:c r="Z19" s="14" t="n">
        <x:v>1</x:v>
      </x:c>
      <x:c r="AA19" s="14" t="n">
        <x:v>1</x:v>
      </x:c>
      <x:c r="AB19" s="14" t="n">
        <x:v>1</x:v>
      </x:c>
      <x:c r="AC19" s="14" t="n">
        <x:v>1</x:v>
      </x:c>
      <x:c r="AD19" s="14" t="n">
        <x:v>0.5</x:v>
      </x:c>
      <x:c r="AE19" s="14" t="n">
        <x:f>SUM(B19:F19)</x:f>
        <x:v>3</x:v>
      </x:c>
      <x:c r="AF19" s="17" t="n">
        <x:f>AE19/5</x:f>
        <x:v>0.6</x:v>
      </x:c>
      <x:c r="AG19" s="14" t="n">
        <x:f>SUM(G19:L19)</x:f>
        <x:v>5</x:v>
      </x:c>
      <x:c r="AH19" s="17" t="n">
        <x:f>AG19/6</x:f>
        <x:v>0.8333333333333334</x:v>
      </x:c>
      <x:c r="AI19" s="14" t="n">
        <x:f>SUM(M19:Q19)</x:f>
        <x:v>4.5</x:v>
      </x:c>
      <x:c r="AJ19" s="17" t="n">
        <x:f>AI19/5</x:f>
        <x:v>0.9</x:v>
      </x:c>
      <x:c r="AK19" s="14" t="n">
        <x:f>SUM(R19:X19)</x:f>
        <x:v>7</x:v>
      </x:c>
      <x:c r="AL19" s="17" t="n">
        <x:f>AK19/7</x:f>
        <x:v>1</x:v>
      </x:c>
      <x:c r="AM19" s="14" t="n">
        <x:f>SUM(Y19:AD19)</x:f>
        <x:v>5</x:v>
      </x:c>
      <x:c r="AN19" s="17" t="n">
        <x:f>AM19/6</x:f>
        <x:v>0.8333333333333334</x:v>
      </x:c>
      <x:c r="AO19" s="2"/>
      <x:c r="AP19" s="2" t="str">
        <x:v>RDM/RDM_Aug_26_Case_Study/Participant_555077_assignsubmission_file/Huffpost assignment.md</x:v>
      </x:c>
      <x:c r="AQ19" s="2" t="str">
        <x:v>9fc7a1490c966cb547f30cd92e5bd5eafebfe014</x:v>
      </x:c>
    </x:row>
    <x:row r="20" ht="24" customHeight="1">
      <x:c r="A20" s="2" t="str">
        <x:v>Participant_555078_assignsubmission_file</x:v>
      </x:c>
      <x:c r="B20" s="12" t="n">
        <x:v>1</x:v>
      </x:c>
      <x:c r="C20" s="12" t="n">
        <x:v>0</x:v>
      </x:c>
      <x:c r="D20" s="12" t="n">
        <x:v>1</x:v>
      </x:c>
      <x:c r="E20" s="12" t="n">
        <x:v>0</x:v>
      </x:c>
      <x:c r="F20" s="12" t="n">
        <x:v>1</x:v>
      </x:c>
      <x:c r="G20" s="12" t="n">
        <x:v>1</x:v>
      </x:c>
      <x:c r="H20" s="12" t="n">
        <x:v>0.5</x:v>
      </x:c>
      <x:c r="I20" s="12" t="n">
        <x:v>0.5</x:v>
      </x:c>
      <x:c r="J20" s="12" t="n">
        <x:v>0.5</x:v>
      </x:c>
      <x:c r="K20" s="12" t="n">
        <x:v>1</x:v>
      </x:c>
      <x:c r="L20" s="12" t="n">
        <x:v>1</x:v>
      </x:c>
      <x:c r="M20" s="12" t="n">
        <x:v>1</x:v>
      </x:c>
      <x:c r="N20" s="12" t="n">
        <x:v>0.5</x:v>
      </x:c>
      <x:c r="O20" s="12" t="n">
        <x:v>1</x:v>
      </x:c>
      <x:c r="P20" s="12" t="n">
        <x:v>0.5</x:v>
      </x:c>
      <x:c r="Q20" s="12" t="n">
        <x:v>1</x:v>
      </x:c>
      <x:c r="R20" s="12" t="n">
        <x:v>0.5</x:v>
      </x:c>
      <x:c r="S20" s="12" t="n">
        <x:v>1</x:v>
      </x:c>
      <x:c r="T20" s="12" t="n">
        <x:v>1</x:v>
      </x:c>
      <x:c r="U20" s="12" t="n">
        <x:v>1</x:v>
      </x:c>
      <x:c r="V20" s="12" t="n">
        <x:v>0.5</x:v>
      </x:c>
      <x:c r="W20" s="12" t="n">
        <x:v>0.5</x:v>
      </x:c>
      <x:c r="X20" s="12" t="n">
        <x:v>0.5</x:v>
      </x:c>
      <x:c r="Y20" s="12" t="n">
        <x:v>0.5</x:v>
      </x:c>
      <x:c r="Z20" s="12" t="n">
        <x:v>1</x:v>
      </x:c>
      <x:c r="AA20" s="12" t="n">
        <x:v>1</x:v>
      </x:c>
      <x:c r="AB20" s="12" t="n">
        <x:v>1</x:v>
      </x:c>
      <x:c r="AC20" s="12" t="n">
        <x:v>1</x:v>
      </x:c>
      <x:c r="AD20" s="12" t="n">
        <x:v>0.5</x:v>
      </x:c>
      <x:c r="AE20" s="12" t="n">
        <x:f>SUM(B20:F20)</x:f>
        <x:v>3</x:v>
      </x:c>
      <x:c r="AF20" s="16" t="n">
        <x:f>AE20/5</x:f>
        <x:v>0.6</x:v>
      </x:c>
      <x:c r="AG20" s="12" t="n">
        <x:f>SUM(G20:L20)</x:f>
        <x:v>4.5</x:v>
      </x:c>
      <x:c r="AH20" s="16" t="n">
        <x:f>AG20/6</x:f>
        <x:v>0.75</x:v>
      </x:c>
      <x:c r="AI20" s="12" t="n">
        <x:f>SUM(M20:Q20)</x:f>
        <x:v>4</x:v>
      </x:c>
      <x:c r="AJ20" s="16" t="n">
        <x:f>AI20/5</x:f>
        <x:v>0.8</x:v>
      </x:c>
      <x:c r="AK20" s="12" t="n">
        <x:f>SUM(R20:X20)</x:f>
        <x:v>5</x:v>
      </x:c>
      <x:c r="AL20" s="16" t="n">
        <x:f>AK20/7</x:f>
        <x:v>0.7142857142857143</x:v>
      </x:c>
      <x:c r="AM20" s="12" t="n">
        <x:f>SUM(Y20:AD20)</x:f>
        <x:v>5</x:v>
      </x:c>
      <x:c r="AN20" s="16" t="n">
        <x:f>AM20/6</x:f>
        <x:v>0.8333333333333334</x:v>
      </x:c>
      <x:c r="AO20" s="2"/>
      <x:c r="AP20" s="2" t="str">
        <x:v>RDM/RDM_Aug_26_Case_Study/Participant_555078_assignsubmission_file/Blog Post.md</x:v>
      </x:c>
      <x:c r="AQ20" s="2" t="str">
        <x:v>8f73d864af17d2aec636cce960724975747b53e2</x:v>
      </x:c>
    </x:row>
    <x:row r="21" ht="24" customHeight="1">
      <x:c r="A21" s="9" t="str">
        <x:v>Participant_555079_assignsubmission_file</x:v>
      </x:c>
      <x:c r="B21" s="14" t="n">
        <x:v>1</x:v>
      </x:c>
      <x:c r="C21" s="14" t="n">
        <x:v>0</x:v>
      </x:c>
      <x:c r="D21" s="14" t="n">
        <x:v>1</x:v>
      </x:c>
      <x:c r="E21" s="14" t="n">
        <x:v>0</x:v>
      </x:c>
      <x:c r="F21" s="14" t="n">
        <x:v>1</x:v>
      </x:c>
      <x:c r="G21" s="14" t="n">
        <x:v>1</x:v>
      </x:c>
      <x:c r="H21" s="14" t="n">
        <x:v>1</x:v>
      </x:c>
      <x:c r="I21" s="14" t="n">
        <x:v>1</x:v>
      </x:c>
      <x:c r="J21" s="14" t="n">
        <x:v>1</x:v>
      </x:c>
      <x:c r="K21" s="14" t="n">
        <x:v>1</x:v>
      </x:c>
      <x:c r="L21" s="14" t="n">
        <x:v>1</x:v>
      </x:c>
      <x:c r="M21" s="14" t="n">
        <x:v>1</x:v>
      </x:c>
      <x:c r="N21" s="14" t="n">
        <x:v>0.5</x:v>
      </x:c>
      <x:c r="O21" s="14" t="n">
        <x:v>1</x:v>
      </x:c>
      <x:c r="P21" s="14" t="n">
        <x:v>1</x:v>
      </x:c>
      <x:c r="Q21" s="14" t="n">
        <x:v>1</x:v>
      </x:c>
      <x:c r="R21" s="14" t="n">
        <x:v>1</x:v>
      </x:c>
      <x:c r="S21" s="14" t="n">
        <x:v>1</x:v>
      </x:c>
      <x:c r="T21" s="14" t="n">
        <x:v>1</x:v>
      </x:c>
      <x:c r="U21" s="14" t="n">
        <x:v>1</x:v>
      </x:c>
      <x:c r="V21" s="14" t="n">
        <x:v>1</x:v>
      </x:c>
      <x:c r="W21" s="14" t="n">
        <x:v>0.5</x:v>
      </x:c>
      <x:c r="X21" s="14" t="n">
        <x:v>0</x:v>
      </x:c>
      <x:c r="Y21" s="14" t="n">
        <x:v>0.5</x:v>
      </x:c>
      <x:c r="Z21" s="14" t="n">
        <x:v>1</x:v>
      </x:c>
      <x:c r="AA21" s="14" t="n">
        <x:v>1</x:v>
      </x:c>
      <x:c r="AB21" s="14" t="n">
        <x:v>1</x:v>
      </x:c>
      <x:c r="AC21" s="14" t="n">
        <x:v>1</x:v>
      </x:c>
      <x:c r="AD21" s="14" t="n">
        <x:v>1</x:v>
      </x:c>
      <x:c r="AE21" s="14" t="n">
        <x:f>SUM(B21:F21)</x:f>
        <x:v>3</x:v>
      </x:c>
      <x:c r="AF21" s="17" t="n">
        <x:f>AE21/5</x:f>
        <x:v>0.6</x:v>
      </x:c>
      <x:c r="AG21" s="14" t="n">
        <x:f>SUM(G21:L21)</x:f>
        <x:v>6</x:v>
      </x:c>
      <x:c r="AH21" s="17" t="n">
        <x:f>AG21/6</x:f>
        <x:v>1</x:v>
      </x:c>
      <x:c r="AI21" s="14" t="n">
        <x:f>SUM(M21:Q21)</x:f>
        <x:v>4.5</x:v>
      </x:c>
      <x:c r="AJ21" s="17" t="n">
        <x:f>AI21/5</x:f>
        <x:v>0.9</x:v>
      </x:c>
      <x:c r="AK21" s="14" t="n">
        <x:f>SUM(R21:X21)</x:f>
        <x:v>5.5</x:v>
      </x:c>
      <x:c r="AL21" s="17" t="n">
        <x:f>AK21/7</x:f>
        <x:v>0.7857142857142857</x:v>
      </x:c>
      <x:c r="AM21" s="14" t="n">
        <x:f>SUM(Y21:AD21)</x:f>
        <x:v>5.5</x:v>
      </x:c>
      <x:c r="AN21" s="17" t="n">
        <x:f>AM21/6</x:f>
        <x:v>0.9166666666666666</x:v>
      </x:c>
      <x:c r="AO21" s="2"/>
      <x:c r="AP21" s="2" t="str">
        <x:v>RDM/RDM_Aug_26_Case_Study/Participant_555079_assignsubmission_file/RDM blog post.md</x:v>
      </x:c>
      <x:c r="AQ21" s="2" t="str">
        <x:v>05dcec9b74e99867ad6cf4cd9c14f858fecc8178</x:v>
      </x:c>
    </x:row>
    <x:row r="22" ht="24" customHeight="1">
      <x:c r="A22" s="2" t="str">
        <x:v>Participant_564388_assignsubmission_file</x:v>
      </x:c>
      <x:c r="B22" s="12" t="n">
        <x:v>0.5</x:v>
      </x:c>
      <x:c r="C22" s="12" t="n">
        <x:v>1</x:v>
      </x:c>
      <x:c r="D22" s="12" t="n">
        <x:v>0.5</x:v>
      </x:c>
      <x:c r="E22" s="12" t="n">
        <x:v>0</x:v>
      </x:c>
      <x:c r="F22" s="12" t="n">
        <x:v>1</x:v>
      </x:c>
      <x:c r="G22" s="12" t="n">
        <x:v>1</x:v>
      </x:c>
      <x:c r="H22" s="12" t="n">
        <x:v>0.5</x:v>
      </x:c>
      <x:c r="I22" s="12" t="n">
        <x:v>0.5</x:v>
      </x:c>
      <x:c r="J22" s="12" t="n">
        <x:v>0.5</x:v>
      </x:c>
      <x:c r="K22" s="12" t="n">
        <x:v>0.5</x:v>
      </x:c>
      <x:c r="L22" s="12" t="n">
        <x:v>0.5</x:v>
      </x:c>
      <x:c r="M22" s="12" t="n">
        <x:v>0.5</x:v>
      </x:c>
      <x:c r="N22" s="12" t="n">
        <x:v>0.5</x:v>
      </x:c>
      <x:c r="O22" s="12" t="n">
        <x:v>1</x:v>
      </x:c>
      <x:c r="P22" s="12" t="n">
        <x:v>1</x:v>
      </x:c>
      <x:c r="Q22" s="12" t="n">
        <x:v>1</x:v>
      </x:c>
      <x:c r="R22" s="12" t="n">
        <x:v>0.5</x:v>
      </x:c>
      <x:c r="S22" s="12" t="n">
        <x:v>1</x:v>
      </x:c>
      <x:c r="T22" s="12" t="n">
        <x:v>1</x:v>
      </x:c>
      <x:c r="U22" s="12" t="n">
        <x:v>1</x:v>
      </x:c>
      <x:c r="V22" s="12" t="n">
        <x:v>1</x:v>
      </x:c>
      <x:c r="W22" s="12" t="n">
        <x:v>0.5</x:v>
      </x:c>
      <x:c r="X22" s="12" t="n">
        <x:v>0.5</x:v>
      </x:c>
      <x:c r="Y22" s="12" t="n">
        <x:v>0</x:v>
      </x:c>
      <x:c r="Z22" s="12" t="n">
        <x:v>1</x:v>
      </x:c>
      <x:c r="AA22" s="12" t="n">
        <x:v>1</x:v>
      </x:c>
      <x:c r="AB22" s="12" t="n">
        <x:v>0</x:v>
      </x:c>
      <x:c r="AC22" s="12" t="n">
        <x:v>1</x:v>
      </x:c>
      <x:c r="AD22" s="12" t="n">
        <x:v>0.5</x:v>
      </x:c>
      <x:c r="AE22" s="12" t="n">
        <x:f>SUM(B22:F22)</x:f>
        <x:v>3</x:v>
      </x:c>
      <x:c r="AF22" s="16" t="n">
        <x:f>AE22/5</x:f>
        <x:v>0.6</x:v>
      </x:c>
      <x:c r="AG22" s="12" t="n">
        <x:f>SUM(G22:L22)</x:f>
        <x:v>3.5</x:v>
      </x:c>
      <x:c r="AH22" s="16" t="n">
        <x:f>AG22/6</x:f>
        <x:v>0.5833333333333334</x:v>
      </x:c>
      <x:c r="AI22" s="12" t="n">
        <x:f>SUM(M22:Q22)</x:f>
        <x:v>4</x:v>
      </x:c>
      <x:c r="AJ22" s="16" t="n">
        <x:f>AI22/5</x:f>
        <x:v>0.8</x:v>
      </x:c>
      <x:c r="AK22" s="12" t="n">
        <x:f>SUM(R22:X22)</x:f>
        <x:v>5.5</x:v>
      </x:c>
      <x:c r="AL22" s="16" t="n">
        <x:f>AK22/7</x:f>
        <x:v>0.7857142857142857</x:v>
      </x:c>
      <x:c r="AM22" s="12" t="n">
        <x:f>SUM(Y22:AD22)</x:f>
        <x:v>3.5</x:v>
      </x:c>
      <x:c r="AN22" s="16" t="n">
        <x:f>AM22/6</x:f>
        <x:v>0.5833333333333334</x:v>
      </x:c>
      <x:c r="AO22" s="2"/>
      <x:c r="AP22" s="2" t="str">
        <x:v>RDM/RDM_Aug_26_Case_Study/Participant_564388_assignsubmission_file/case study.md</x:v>
      </x:c>
      <x:c r="AQ22" s="2" t="str">
        <x:v>699e46315f5534e53299ef301971c364b9e4041b</x:v>
      </x:c>
    </x:row>
  </x:sheetData>
  <x:dataValidations count="1">
    <x:dataValidation type="list" sqref="B6:AD22">
      <x:formula1>"0,0.5,1"</x:formula1>
    </x:dataValidation>
  </x:dataValidations>
  <x:pageMargins left="0.7" right="0.7" top="0.75" bottom="0.75" header="0.3" footer="0.3"/>
</x:worksheet>
</file>